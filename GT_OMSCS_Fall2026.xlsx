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ll2026 등록가능" sheetId="1" state="visible" r:id="rId3"/>
    <sheet name="Specialization 요건" sheetId="2" state="visible" r:id="rId4"/>
    <sheet name="30학점 트래커" sheetId="3" state="visible" r:id="rId5"/>
    <sheet name="등록 불가 · 세미나" sheetId="4" state="visible" r:id="rId6"/>
  </sheets>
  <definedNames>
    <definedName function="false" hidden="true" localSheetId="0" name="_xlnm._FilterDatabase" vbProcedure="false">'Fall2026 등록가능'!$A$5:$M$64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<sst xmlns="http://schemas.openxmlformats.org/spreadsheetml/2006/main" count="728" uniqueCount="341">
  <si>
    <r>
      <rPr>
        <b val="true"/>
        <sz val="13"/>
        <color rgb="FF003057"/>
        <rFont val="Arial"/>
        <family val="0"/>
        <charset val="1"/>
      </rPr>
      <t xml:space="preserve">Georgia Tech OMSCS — Fall 2026 </t>
    </r>
    <r>
      <rPr>
        <b val="true"/>
        <sz val="13"/>
        <color rgb="FF003057"/>
        <rFont val="Noto Sans CJK SC"/>
        <family val="2"/>
      </rPr>
      <t xml:space="preserve">등록 가능 과목 </t>
    </r>
    <r>
      <rPr>
        <b val="true"/>
        <sz val="13"/>
        <color rgb="FF003057"/>
        <rFont val="Arial"/>
        <family val="0"/>
        <charset val="1"/>
      </rPr>
      <t xml:space="preserve">(Online / CS)</t>
    </r>
  </si>
  <si>
    <r>
      <rPr>
        <i val="true"/>
        <sz val="9"/>
        <color rgb="FF7F7F7F"/>
        <rFont val="Noto Sans CJK SC"/>
        <family val="2"/>
      </rPr>
      <t xml:space="preserve">출처</t>
    </r>
    <r>
      <rPr>
        <i val="true"/>
        <sz val="9"/>
        <color rgb="FF7F7F7F"/>
        <rFont val="Arial"/>
        <family val="0"/>
        <charset val="1"/>
      </rPr>
      <t xml:space="preserve">: OSCAR Browse Classes, Term=Fall 2026, Subject=Computer Science, Campus=Online (2026-08-17 </t>
    </r>
    <r>
      <rPr>
        <i val="true"/>
        <sz val="9"/>
        <color rgb="FF7F7F7F"/>
        <rFont val="Noto Sans CJK SC"/>
        <family val="2"/>
      </rPr>
      <t xml:space="preserve">기준</t>
    </r>
    <r>
      <rPr>
        <i val="true"/>
        <sz val="9"/>
        <color rgb="FF7F7F7F"/>
        <rFont val="Arial"/>
        <family val="0"/>
        <charset val="1"/>
      </rPr>
      <t xml:space="preserve">). </t>
    </r>
    <r>
      <rPr>
        <i val="true"/>
        <sz val="9"/>
        <color rgb="FF7F7F7F"/>
        <rFont val="Noto Sans CJK SC"/>
        <family val="2"/>
      </rPr>
      <t xml:space="preserve">자리 수는 실시간 변동됨 — 등록 직전 </t>
    </r>
    <r>
      <rPr>
        <i val="true"/>
        <sz val="9"/>
        <color rgb="FF7F7F7F"/>
        <rFont val="Arial"/>
        <family val="0"/>
        <charset val="1"/>
      </rPr>
      <t xml:space="preserve">OSCAR</t>
    </r>
    <r>
      <rPr>
        <i val="true"/>
        <sz val="9"/>
        <color rgb="FF7F7F7F"/>
        <rFont val="Noto Sans CJK SC"/>
        <family val="2"/>
      </rPr>
      <t xml:space="preserve">에서 재확인 필수</t>
    </r>
    <r>
      <rPr>
        <i val="true"/>
        <sz val="9"/>
        <color rgb="FF7F7F7F"/>
        <rFont val="Arial"/>
        <family val="0"/>
        <charset val="1"/>
      </rPr>
      <t xml:space="preserve">.</t>
    </r>
  </si>
  <si>
    <r>
      <rPr>
        <i val="true"/>
        <sz val="9"/>
        <color rgb="FFC00000"/>
        <rFont val="Noto Sans CJK SC"/>
        <family val="2"/>
      </rPr>
      <t xml:space="preserve">주의</t>
    </r>
    <r>
      <rPr>
        <i val="true"/>
        <sz val="9"/>
        <color rgb="FFC00000"/>
        <rFont val="Arial"/>
        <family val="0"/>
        <charset val="1"/>
      </rPr>
      <t xml:space="preserve">: </t>
    </r>
    <r>
      <rPr>
        <i val="true"/>
        <sz val="9"/>
        <color rgb="FFC00000"/>
        <rFont val="Noto Sans CJK SC"/>
        <family val="2"/>
      </rPr>
      <t xml:space="preserve">이 목록은 </t>
    </r>
    <r>
      <rPr>
        <i val="true"/>
        <sz val="9"/>
        <color rgb="FFC00000"/>
        <rFont val="Arial"/>
        <family val="0"/>
        <charset val="1"/>
      </rPr>
      <t xml:space="preserve">Subject=Computer Science</t>
    </r>
    <r>
      <rPr>
        <i val="true"/>
        <sz val="9"/>
        <color rgb="FFC00000"/>
        <rFont val="Noto Sans CJK SC"/>
        <family val="2"/>
      </rPr>
      <t xml:space="preserve">만 검색한 결과</t>
    </r>
    <r>
      <rPr>
        <i val="true"/>
        <sz val="9"/>
        <color rgb="FFC00000"/>
        <rFont val="Arial"/>
        <family val="0"/>
        <charset val="1"/>
      </rPr>
      <t xml:space="preserve">. CSE / ISYE / MGT / INTA / PUBP </t>
    </r>
    <r>
      <rPr>
        <i val="true"/>
        <sz val="9"/>
        <color rgb="FFC00000"/>
        <rFont val="Noto Sans CJK SC"/>
        <family val="2"/>
      </rPr>
      <t xml:space="preserve">과목은 별도 검색 필요 </t>
    </r>
    <r>
      <rPr>
        <i val="true"/>
        <sz val="9"/>
        <color rgb="FFC00000"/>
        <rFont val="Arial"/>
        <family val="0"/>
        <charset val="1"/>
      </rPr>
      <t xml:space="preserve">(CS·CSE </t>
    </r>
    <r>
      <rPr>
        <i val="true"/>
        <sz val="9"/>
        <color rgb="FFC00000"/>
        <rFont val="Noto Sans CJK SC"/>
        <family val="2"/>
      </rPr>
      <t xml:space="preserve">외 과목은 최대 </t>
    </r>
    <r>
      <rPr>
        <i val="true"/>
        <sz val="9"/>
        <color rgb="FFC00000"/>
        <rFont val="Arial"/>
        <family val="0"/>
        <charset val="1"/>
      </rPr>
      <t xml:space="preserve">6</t>
    </r>
    <r>
      <rPr>
        <i val="true"/>
        <sz val="9"/>
        <color rgb="FFC00000"/>
        <rFont val="Noto Sans CJK SC"/>
        <family val="2"/>
      </rPr>
      <t xml:space="preserve">학점까지만 졸업 인정</t>
    </r>
    <r>
      <rPr>
        <i val="true"/>
        <sz val="9"/>
        <color rgb="FFC00000"/>
        <rFont val="Arial"/>
        <family val="0"/>
        <charset val="1"/>
      </rPr>
      <t xml:space="preserve">).</t>
    </r>
  </si>
  <si>
    <t xml:space="preserve">과목</t>
  </si>
  <si>
    <t xml:space="preserve">과목명</t>
  </si>
  <si>
    <t xml:space="preserve">섹션</t>
  </si>
  <si>
    <t xml:space="preserve">CRN</t>
  </si>
  <si>
    <t xml:space="preserve">학점</t>
  </si>
  <si>
    <t xml:space="preserve">Foundational</t>
  </si>
  <si>
    <t xml:space="preserve">체감 난이도</t>
  </si>
  <si>
    <r>
      <rPr>
        <b val="true"/>
        <sz val="10"/>
        <color rgb="FFFFFFFF"/>
        <rFont val="Arial"/>
        <family val="0"/>
        <charset val="1"/>
      </rPr>
      <t xml:space="preserve">Specialization </t>
    </r>
    <r>
      <rPr>
        <b val="true"/>
        <sz val="10"/>
        <color rgb="FFFFFFFF"/>
        <rFont val="Noto Sans CJK SC"/>
        <family val="2"/>
      </rPr>
      <t xml:space="preserve">인정</t>
    </r>
  </si>
  <si>
    <t xml:space="preserve">남은 자리</t>
  </si>
  <si>
    <t xml:space="preserve">총 자리</t>
  </si>
  <si>
    <t xml:space="preserve">대기자</t>
  </si>
  <si>
    <t xml:space="preserve">자리 상태</t>
  </si>
  <si>
    <t xml:space="preserve">교수</t>
  </si>
  <si>
    <t xml:space="preserve">CS 6035</t>
  </si>
  <si>
    <t xml:space="preserve">Intro To Info Security</t>
  </si>
  <si>
    <t xml:space="preserve">O01</t>
  </si>
  <si>
    <t xml:space="preserve">★ 예</t>
  </si>
  <si>
    <r>
      <rPr>
        <sz val="10"/>
        <rFont val="Noto Sans CJK SC"/>
        <family val="2"/>
      </rPr>
      <t xml:space="preserve">가벼움</t>
    </r>
    <r>
      <rPr>
        <sz val="10"/>
        <rFont val="Arial"/>
        <family val="0"/>
        <charset val="1"/>
      </rPr>
      <t xml:space="preserve">~</t>
    </r>
    <r>
      <rPr>
        <sz val="10"/>
        <rFont val="Noto Sans CJK SC"/>
        <family val="2"/>
      </rPr>
      <t xml:space="preserve">보통</t>
    </r>
  </si>
  <si>
    <r>
      <rPr>
        <sz val="10"/>
        <rFont val="Arial"/>
        <family val="0"/>
        <charset val="1"/>
      </rPr>
      <t xml:space="preserve">CS:</t>
    </r>
    <r>
      <rPr>
        <sz val="10"/>
        <rFont val="Noto Sans CJK SC"/>
        <family val="2"/>
      </rPr>
      <t xml:space="preserve">선택</t>
    </r>
  </si>
  <si>
    <t xml:space="preserve">🟢 여유</t>
  </si>
  <si>
    <t xml:space="preserve">Lee, Wenke</t>
  </si>
  <si>
    <t xml:space="preserve">CS 6200</t>
  </si>
  <si>
    <t xml:space="preserve">Graduate Intro to OS</t>
  </si>
  <si>
    <t xml:space="preserve">무거움</t>
  </si>
  <si>
    <t xml:space="preserve">Gavrilovska, Ada</t>
  </si>
  <si>
    <t xml:space="preserve">CS 6210</t>
  </si>
  <si>
    <t xml:space="preserve">Adv Operating Systems</t>
  </si>
  <si>
    <t xml:space="preserve">매우 무거움</t>
  </si>
  <si>
    <r>
      <rPr>
        <sz val="10"/>
        <rFont val="Arial"/>
        <family val="0"/>
        <charset val="1"/>
      </rPr>
      <t xml:space="preserve">CS:</t>
    </r>
    <r>
      <rPr>
        <sz val="10"/>
        <rFont val="Noto Sans CJK SC"/>
        <family val="2"/>
      </rPr>
      <t xml:space="preserve">코어</t>
    </r>
  </si>
  <si>
    <t xml:space="preserve">Ramachandran, Umakishore</t>
  </si>
  <si>
    <t xml:space="preserve">CS 6211</t>
  </si>
  <si>
    <t xml:space="preserve">Sys Design Cloud Comput</t>
  </si>
  <si>
    <t xml:space="preserve">🟡 여유 적음</t>
  </si>
  <si>
    <t xml:space="preserve">CS 6238</t>
  </si>
  <si>
    <t xml:space="preserve">Secure Computer Systems</t>
  </si>
  <si>
    <t xml:space="preserve">보통</t>
  </si>
  <si>
    <t xml:space="preserve">Ahamad, Mustaque</t>
  </si>
  <si>
    <t xml:space="preserve">CS 6250</t>
  </si>
  <si>
    <t xml:space="preserve">Computer Networks</t>
  </si>
  <si>
    <t xml:space="preserve">🔴 대기자 전용</t>
  </si>
  <si>
    <t xml:space="preserve">Konte, Maria</t>
  </si>
  <si>
    <t xml:space="preserve">CS 6260</t>
  </si>
  <si>
    <t xml:space="preserve">Applied Cryptography</t>
  </si>
  <si>
    <t xml:space="preserve">Boldyreva, Alexandra</t>
  </si>
  <si>
    <t xml:space="preserve">CS 6261</t>
  </si>
  <si>
    <t xml:space="preserve">Cyber Incident Response</t>
  </si>
  <si>
    <t xml:space="preserve">아니오</t>
  </si>
  <si>
    <t xml:space="preserve">Lummis, Jimmy</t>
  </si>
  <si>
    <t xml:space="preserve">CS 6262</t>
  </si>
  <si>
    <t xml:space="preserve">Network Security</t>
  </si>
  <si>
    <t xml:space="preserve">CS 6263</t>
  </si>
  <si>
    <t xml:space="preserve">Intro Cyber Phys Sys Sec</t>
  </si>
  <si>
    <t xml:space="preserve">Zonouz, Saman</t>
  </si>
  <si>
    <t xml:space="preserve">CS 6264</t>
  </si>
  <si>
    <t xml:space="preserve">Infosec Labs: Defenses</t>
  </si>
  <si>
    <t xml:space="preserve">CS 6265</t>
  </si>
  <si>
    <t xml:space="preserve">Info Sec Lab Binexp</t>
  </si>
  <si>
    <t xml:space="preserve">Kim, Taesoo</t>
  </si>
  <si>
    <t xml:space="preserve">CS 6290</t>
  </si>
  <si>
    <t xml:space="preserve">High Perform Comput Arch</t>
  </si>
  <si>
    <t xml:space="preserve">Prvulovic, Milos</t>
  </si>
  <si>
    <t xml:space="preserve">CS 6291</t>
  </si>
  <si>
    <t xml:space="preserve">Embedded Software Opt.</t>
  </si>
  <si>
    <t xml:space="preserve">Pande, Santosh</t>
  </si>
  <si>
    <t xml:space="preserve">CS 6300</t>
  </si>
  <si>
    <t xml:space="preserve">Software Dev Process</t>
  </si>
  <si>
    <r>
      <rPr>
        <sz val="10"/>
        <rFont val="Noto Sans CJK SC"/>
        <family val="2"/>
      </rPr>
      <t xml:space="preserve">보통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팀플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</si>
  <si>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AI:</t>
    </r>
    <r>
      <rPr>
        <sz val="10"/>
        <rFont val="Noto Sans CJK SC"/>
        <family val="2"/>
      </rPr>
      <t xml:space="preserve">알고리즘 </t>
    </r>
    <r>
      <rPr>
        <sz val="10"/>
        <rFont val="Arial"/>
        <family val="0"/>
        <charset val="1"/>
      </rPr>
      <t xml:space="preserve">/ CS:</t>
    </r>
    <r>
      <rPr>
        <sz val="10"/>
        <rFont val="Noto Sans CJK SC"/>
        <family val="2"/>
      </rPr>
      <t xml:space="preserve">코어</t>
    </r>
  </si>
  <si>
    <t xml:space="preserve">Manning, Ben
Spoletini, Paola</t>
  </si>
  <si>
    <t xml:space="preserve">CS 6310</t>
  </si>
  <si>
    <t xml:space="preserve">Software Arch &amp; Design</t>
  </si>
  <si>
    <r>
      <rPr>
        <sz val="10"/>
        <rFont val="Noto Sans CJK SC"/>
        <family val="2"/>
      </rPr>
      <t xml:space="preserve">보통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팀플 多</t>
    </r>
    <r>
      <rPr>
        <sz val="10"/>
        <rFont val="Arial"/>
        <family val="0"/>
        <charset val="1"/>
      </rPr>
      <t xml:space="preserve">)</t>
    </r>
  </si>
  <si>
    <t xml:space="preserve">Moss, Mark</t>
  </si>
  <si>
    <t xml:space="preserve">CS 6340</t>
  </si>
  <si>
    <t xml:space="preserve">Software Analysis &amp; Test</t>
  </si>
  <si>
    <t xml:space="preserve">Poch, Chris
Naik, Mayur</t>
  </si>
  <si>
    <t xml:space="preserve">CS 6400</t>
  </si>
  <si>
    <t xml:space="preserve">DB Sys Concepts&amp; Design</t>
  </si>
  <si>
    <t xml:space="preserve">Mark, Leo</t>
  </si>
  <si>
    <t xml:space="preserve">CS 6422</t>
  </si>
  <si>
    <t xml:space="preserve">Database System Implemnt</t>
  </si>
  <si>
    <t xml:space="preserve">Arulraj, Joy James Prabhu</t>
  </si>
  <si>
    <t xml:space="preserve">CS 6435</t>
  </si>
  <si>
    <t xml:space="preserve">Digital Health Equity</t>
  </si>
  <si>
    <r>
      <rPr>
        <sz val="10"/>
        <rFont val="Arial"/>
        <family val="0"/>
        <charset val="1"/>
      </rPr>
      <t xml:space="preserve">HCI:</t>
    </r>
    <r>
      <rPr>
        <sz val="10"/>
        <rFont val="Noto Sans CJK SC"/>
        <family val="2"/>
      </rPr>
      <t xml:space="preserve">설계</t>
    </r>
  </si>
  <si>
    <t xml:space="preserve">Parker, Andrea</t>
  </si>
  <si>
    <t xml:space="preserve">CS 6440</t>
  </si>
  <si>
    <t xml:space="preserve">Intro Health Informatics</t>
  </si>
  <si>
    <r>
      <rPr>
        <sz val="10"/>
        <rFont val="Arial"/>
        <family val="0"/>
        <charset val="1"/>
      </rPr>
      <t xml:space="preserve">AI:</t>
    </r>
    <r>
      <rPr>
        <sz val="10"/>
        <rFont val="Noto Sans CJK SC"/>
        <family val="2"/>
      </rPr>
      <t xml:space="preserve">선택 </t>
    </r>
    <r>
      <rPr>
        <sz val="10"/>
        <rFont val="Arial"/>
        <family val="0"/>
        <charset val="1"/>
      </rPr>
      <t xml:space="preserve">/ HCI:</t>
    </r>
    <r>
      <rPr>
        <sz val="10"/>
        <rFont val="Noto Sans CJK SC"/>
        <family val="2"/>
      </rPr>
      <t xml:space="preserve">기술</t>
    </r>
  </si>
  <si>
    <t xml:space="preserve">Duke, Jon</t>
  </si>
  <si>
    <t xml:space="preserve">CS 6457</t>
  </si>
  <si>
    <t xml:space="preserve">Video Game Design</t>
  </si>
  <si>
    <r>
      <rPr>
        <sz val="10"/>
        <rFont val="Arial"/>
        <family val="0"/>
        <charset val="1"/>
      </rPr>
      <t xml:space="preserve">CG:</t>
    </r>
    <r>
      <rPr>
        <sz val="10"/>
        <rFont val="Noto Sans CJK SC"/>
        <family val="2"/>
      </rPr>
      <t xml:space="preserve">코어 </t>
    </r>
    <r>
      <rPr>
        <sz val="10"/>
        <rFont val="Arial"/>
        <family val="0"/>
        <charset val="1"/>
      </rPr>
      <t xml:space="preserve">/ CG:</t>
    </r>
    <r>
      <rPr>
        <sz val="10"/>
        <rFont val="Noto Sans CJK SC"/>
        <family val="2"/>
      </rPr>
      <t xml:space="preserve">선택 </t>
    </r>
    <r>
      <rPr>
        <sz val="10"/>
        <rFont val="Arial"/>
        <family val="0"/>
        <charset val="1"/>
      </rPr>
      <t xml:space="preserve">/ HCI:</t>
    </r>
    <r>
      <rPr>
        <sz val="10"/>
        <rFont val="Noto Sans CJK SC"/>
        <family val="2"/>
      </rPr>
      <t xml:space="preserve">설계</t>
    </r>
  </si>
  <si>
    <t xml:space="preserve">Wilson, Jeff</t>
  </si>
  <si>
    <t xml:space="preserve">CS 6460</t>
  </si>
  <si>
    <t xml:space="preserve">Educ Tech-Foundations</t>
  </si>
  <si>
    <r>
      <rPr>
        <sz val="10"/>
        <rFont val="Arial"/>
        <family val="0"/>
        <charset val="1"/>
      </rPr>
      <t xml:space="preserve">AI:</t>
    </r>
    <r>
      <rPr>
        <sz val="10"/>
        <rFont val="Noto Sans CJK SC"/>
        <family val="2"/>
      </rPr>
      <t xml:space="preserve">선택 </t>
    </r>
    <r>
      <rPr>
        <sz val="10"/>
        <rFont val="Arial"/>
        <family val="0"/>
        <charset val="1"/>
      </rPr>
      <t xml:space="preserve">/ HCI:</t>
    </r>
    <r>
      <rPr>
        <sz val="10"/>
        <rFont val="Noto Sans CJK SC"/>
        <family val="2"/>
      </rPr>
      <t xml:space="preserve">설계</t>
    </r>
  </si>
  <si>
    <t xml:space="preserve">🟠 거의 마감</t>
  </si>
  <si>
    <t xml:space="preserve">Joyner, David</t>
  </si>
  <si>
    <t xml:space="preserve">CS 6475</t>
  </si>
  <si>
    <t xml:space="preserve">Comp. Photography</t>
  </si>
  <si>
    <r>
      <rPr>
        <sz val="10"/>
        <rFont val="Arial"/>
        <family val="0"/>
        <charset val="1"/>
      </rPr>
      <t xml:space="preserve">CPR:</t>
    </r>
    <r>
      <rPr>
        <sz val="10"/>
        <rFont val="Noto Sans CJK SC"/>
        <family val="2"/>
      </rPr>
      <t xml:space="preserve">지각 </t>
    </r>
    <r>
      <rPr>
        <sz val="10"/>
        <rFont val="Arial"/>
        <family val="0"/>
        <charset val="1"/>
      </rPr>
      <t xml:space="preserve">/ CG:</t>
    </r>
    <r>
      <rPr>
        <sz val="10"/>
        <rFont val="Noto Sans CJK SC"/>
        <family val="2"/>
      </rPr>
      <t xml:space="preserve">선택</t>
    </r>
  </si>
  <si>
    <t xml:space="preserve">Essa, Irfan</t>
  </si>
  <si>
    <t xml:space="preserve">CS 6476</t>
  </si>
  <si>
    <t xml:space="preserve">Computer Vision</t>
  </si>
  <si>
    <r>
      <rPr>
        <sz val="10"/>
        <rFont val="Arial"/>
        <family val="0"/>
        <charset val="1"/>
      </rPr>
      <t xml:space="preserve">AI:</t>
    </r>
    <r>
      <rPr>
        <sz val="10"/>
        <rFont val="Noto Sans CJK SC"/>
        <family val="2"/>
      </rPr>
      <t xml:space="preserve">코어 </t>
    </r>
    <r>
      <rPr>
        <sz val="10"/>
        <rFont val="Arial"/>
        <family val="0"/>
        <charset val="1"/>
      </rPr>
      <t xml:space="preserve">/ ML:</t>
    </r>
    <r>
      <rPr>
        <sz val="10"/>
        <rFont val="Noto Sans CJK SC"/>
        <family val="2"/>
      </rPr>
      <t xml:space="preserve">선택 </t>
    </r>
    <r>
      <rPr>
        <sz val="10"/>
        <rFont val="Arial"/>
        <family val="0"/>
        <charset val="1"/>
      </rPr>
      <t xml:space="preserve">/ CPR:</t>
    </r>
    <r>
      <rPr>
        <sz val="10"/>
        <rFont val="Noto Sans CJK SC"/>
        <family val="2"/>
      </rPr>
      <t xml:space="preserve">지각 </t>
    </r>
    <r>
      <rPr>
        <sz val="10"/>
        <rFont val="Arial"/>
        <family val="0"/>
        <charset val="1"/>
      </rPr>
      <t xml:space="preserve">/ CG:</t>
    </r>
    <r>
      <rPr>
        <sz val="10"/>
        <rFont val="Noto Sans CJK SC"/>
        <family val="2"/>
      </rPr>
      <t xml:space="preserve">선택</t>
    </r>
  </si>
  <si>
    <t xml:space="preserve">Essa, Irfan
Shi, Honghui</t>
  </si>
  <si>
    <t xml:space="preserve">CS 6491</t>
  </si>
  <si>
    <t xml:space="preserve">Computer Graphics</t>
  </si>
  <si>
    <r>
      <rPr>
        <sz val="10"/>
        <rFont val="Arial"/>
        <family val="0"/>
        <charset val="1"/>
      </rPr>
      <t xml:space="preserve">CG:</t>
    </r>
    <r>
      <rPr>
        <sz val="10"/>
        <rFont val="Noto Sans CJK SC"/>
        <family val="2"/>
      </rPr>
      <t xml:space="preserve">코어 </t>
    </r>
    <r>
      <rPr>
        <sz val="10"/>
        <rFont val="Arial"/>
        <family val="0"/>
        <charset val="1"/>
      </rPr>
      <t xml:space="preserve">/ CG:</t>
    </r>
    <r>
      <rPr>
        <sz val="10"/>
        <rFont val="Noto Sans CJK SC"/>
        <family val="2"/>
      </rPr>
      <t xml:space="preserve">선택</t>
    </r>
  </si>
  <si>
    <t xml:space="preserve">CS 6515</t>
  </si>
  <si>
    <t xml:space="preserve">Intro to Grad Algorithms</t>
  </si>
  <si>
    <t xml:space="preserve">★최고난도★</t>
  </si>
  <si>
    <r>
      <rPr>
        <sz val="10"/>
        <rFont val="Arial"/>
        <family val="0"/>
        <charset val="1"/>
      </rPr>
      <t xml:space="preserve">AI:</t>
    </r>
    <r>
      <rPr>
        <sz val="10"/>
        <rFont val="Noto Sans CJK SC"/>
        <family val="2"/>
      </rPr>
      <t xml:space="preserve">알고리즘 </t>
    </r>
    <r>
      <rPr>
        <sz val="10"/>
        <rFont val="Arial"/>
        <family val="0"/>
        <charset val="1"/>
      </rPr>
      <t xml:space="preserve">/ CS:</t>
    </r>
    <r>
      <rPr>
        <sz val="10"/>
        <rFont val="Noto Sans CJK SC"/>
        <family val="2"/>
      </rPr>
      <t xml:space="preserve">코어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필수</t>
    </r>
    <r>
      <rPr>
        <sz val="10"/>
        <rFont val="Arial"/>
        <family val="0"/>
        <charset val="1"/>
      </rPr>
      <t xml:space="preserve">) / ML:</t>
    </r>
    <r>
      <rPr>
        <sz val="10"/>
        <rFont val="Noto Sans CJK SC"/>
        <family val="2"/>
      </rPr>
      <t xml:space="preserve">알고리즘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필수</t>
    </r>
    <r>
      <rPr>
        <sz val="10"/>
        <rFont val="Arial"/>
        <family val="0"/>
        <charset val="1"/>
      </rPr>
      <t xml:space="preserve">) / CPR:</t>
    </r>
    <r>
      <rPr>
        <sz val="10"/>
        <rFont val="Noto Sans CJK SC"/>
        <family val="2"/>
      </rPr>
      <t xml:space="preserve">알고리즘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필수</t>
    </r>
    <r>
      <rPr>
        <sz val="10"/>
        <rFont val="Arial"/>
        <family val="0"/>
        <charset val="1"/>
      </rPr>
      <t xml:space="preserve">) / CG:</t>
    </r>
    <r>
      <rPr>
        <sz val="10"/>
        <rFont val="Noto Sans CJK SC"/>
        <family val="2"/>
      </rPr>
      <t xml:space="preserve">알고리즘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필수</t>
    </r>
    <r>
      <rPr>
        <sz val="10"/>
        <rFont val="Arial"/>
        <family val="0"/>
        <charset val="1"/>
      </rPr>
      <t xml:space="preserve">)</t>
    </r>
  </si>
  <si>
    <t xml:space="preserve">Brito, Gerandy</t>
  </si>
  <si>
    <t xml:space="preserve">CS 6601</t>
  </si>
  <si>
    <t xml:space="preserve">Artificial Intelligence</t>
  </si>
  <si>
    <r>
      <rPr>
        <sz val="10"/>
        <rFont val="Arial"/>
        <family val="0"/>
        <charset val="1"/>
      </rPr>
      <t xml:space="preserve">AI:</t>
    </r>
    <r>
      <rPr>
        <sz val="10"/>
        <rFont val="Noto Sans CJK SC"/>
        <family val="2"/>
      </rPr>
      <t xml:space="preserve">코어 </t>
    </r>
    <r>
      <rPr>
        <sz val="10"/>
        <rFont val="Arial"/>
        <family val="0"/>
        <charset val="1"/>
      </rPr>
      <t xml:space="preserve">/ ML:</t>
    </r>
    <r>
      <rPr>
        <sz val="10"/>
        <rFont val="Noto Sans CJK SC"/>
        <family val="2"/>
      </rPr>
      <t xml:space="preserve">선택 </t>
    </r>
    <r>
      <rPr>
        <sz val="10"/>
        <rFont val="Arial"/>
        <family val="0"/>
        <charset val="1"/>
      </rPr>
      <t xml:space="preserve">/ CPR:</t>
    </r>
    <r>
      <rPr>
        <sz val="10"/>
        <rFont val="Noto Sans CJK SC"/>
        <family val="2"/>
      </rPr>
      <t xml:space="preserve">코어</t>
    </r>
  </si>
  <si>
    <t xml:space="preserve">Ploetz, Thomas</t>
  </si>
  <si>
    <t xml:space="preserve">CS 6603</t>
  </si>
  <si>
    <t xml:space="preserve">AI Ethics Society</t>
  </si>
  <si>
    <t xml:space="preserve">가벼움</t>
  </si>
  <si>
    <r>
      <rPr>
        <sz val="10"/>
        <rFont val="Arial"/>
        <family val="0"/>
        <charset val="1"/>
      </rPr>
      <t xml:space="preserve">AI:</t>
    </r>
    <r>
      <rPr>
        <sz val="10"/>
        <rFont val="Noto Sans CJK SC"/>
        <family val="2"/>
      </rPr>
      <t xml:space="preserve">선택 </t>
    </r>
    <r>
      <rPr>
        <sz val="10"/>
        <rFont val="Arial"/>
        <family val="0"/>
        <charset val="1"/>
      </rPr>
      <t xml:space="preserve">/ ML:</t>
    </r>
    <r>
      <rPr>
        <sz val="10"/>
        <rFont val="Noto Sans CJK SC"/>
        <family val="2"/>
      </rPr>
      <t xml:space="preserve">선택</t>
    </r>
  </si>
  <si>
    <t xml:space="preserve">Mandala, Mahender</t>
  </si>
  <si>
    <t xml:space="preserve">CS 6675</t>
  </si>
  <si>
    <t xml:space="preserve">Advance Internet Comput</t>
  </si>
  <si>
    <t xml:space="preserve">Liu, Ling</t>
  </si>
  <si>
    <t xml:space="preserve">CS 6747</t>
  </si>
  <si>
    <t xml:space="preserve">ADV Malware Analysis</t>
  </si>
  <si>
    <t xml:space="preserve">Saltaformaggio, Brendan</t>
  </si>
  <si>
    <t xml:space="preserve">CS 6750</t>
  </si>
  <si>
    <t xml:space="preserve">Human-Computer Interact</t>
  </si>
  <si>
    <r>
      <rPr>
        <sz val="10"/>
        <rFont val="Noto Sans CJK SC"/>
        <family val="2"/>
      </rPr>
      <t xml:space="preserve">보통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글쓰기 多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</si>
  <si>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AI:</t>
    </r>
    <r>
      <rPr>
        <sz val="10"/>
        <rFont val="Noto Sans CJK SC"/>
        <family val="2"/>
      </rPr>
      <t xml:space="preserve">선택 </t>
    </r>
    <r>
      <rPr>
        <sz val="10"/>
        <rFont val="Arial"/>
        <family val="0"/>
        <charset val="1"/>
      </rPr>
      <t xml:space="preserve">/ HCI:</t>
    </r>
    <r>
      <rPr>
        <sz val="10"/>
        <rFont val="Noto Sans CJK SC"/>
        <family val="2"/>
      </rPr>
      <t xml:space="preserve">코어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필수</t>
    </r>
    <r>
      <rPr>
        <sz val="10"/>
        <rFont val="Arial"/>
        <family val="0"/>
        <charset val="1"/>
      </rPr>
      <t xml:space="preserve">)</t>
    </r>
  </si>
  <si>
    <t xml:space="preserve">CS 6795</t>
  </si>
  <si>
    <t xml:space="preserve">Intro-Cognitive Science</t>
  </si>
  <si>
    <t xml:space="preserve">McGreggor, Brian</t>
  </si>
  <si>
    <t xml:space="preserve">CS 7210</t>
  </si>
  <si>
    <t xml:space="preserve">Distributed Computing</t>
  </si>
  <si>
    <t xml:space="preserve">CS 7280</t>
  </si>
  <si>
    <t xml:space="preserve">Network Science</t>
  </si>
  <si>
    <r>
      <rPr>
        <sz val="10"/>
        <rFont val="Arial"/>
        <family val="0"/>
        <charset val="1"/>
      </rPr>
      <t xml:space="preserve">ML:</t>
    </r>
    <r>
      <rPr>
        <sz val="10"/>
        <rFont val="Noto Sans CJK SC"/>
        <family val="2"/>
      </rPr>
      <t xml:space="preserve">선택 </t>
    </r>
    <r>
      <rPr>
        <sz val="10"/>
        <rFont val="Arial"/>
        <family val="0"/>
        <charset val="1"/>
      </rPr>
      <t xml:space="preserve">/ CS:</t>
    </r>
    <r>
      <rPr>
        <sz val="10"/>
        <rFont val="Noto Sans CJK SC"/>
        <family val="2"/>
      </rPr>
      <t xml:space="preserve">선택</t>
    </r>
  </si>
  <si>
    <t xml:space="preserve">Prakash, Bodicherla Aditya</t>
  </si>
  <si>
    <t xml:space="preserve">CS 7295</t>
  </si>
  <si>
    <t xml:space="preserve">GPU HW and SW</t>
  </si>
  <si>
    <t xml:space="preserve">Kim, Hyesoon</t>
  </si>
  <si>
    <t xml:space="preserve">CS 7400</t>
  </si>
  <si>
    <t xml:space="preserve">Intro Quantum Computing</t>
  </si>
  <si>
    <r>
      <rPr>
        <sz val="10"/>
        <rFont val="Noto Sans CJK SC"/>
        <family val="2"/>
      </rPr>
      <t xml:space="preserve">보통</t>
    </r>
    <r>
      <rPr>
        <sz val="10"/>
        <rFont val="Arial"/>
        <family val="0"/>
        <charset val="1"/>
      </rPr>
      <t xml:space="preserve">~</t>
    </r>
    <r>
      <rPr>
        <sz val="10"/>
        <rFont val="Noto Sans CJK SC"/>
        <family val="2"/>
      </rPr>
      <t xml:space="preserve">무거움</t>
    </r>
  </si>
  <si>
    <t xml:space="preserve">Qureshi, Moinuddin</t>
  </si>
  <si>
    <t xml:space="preserve">CS 7470</t>
  </si>
  <si>
    <t xml:space="preserve">Ubiquitous Computing</t>
  </si>
  <si>
    <r>
      <rPr>
        <sz val="10"/>
        <rFont val="Arial"/>
        <family val="0"/>
        <charset val="1"/>
      </rPr>
      <t xml:space="preserve">HCI:</t>
    </r>
    <r>
      <rPr>
        <sz val="10"/>
        <rFont val="Noto Sans CJK SC"/>
        <family val="2"/>
      </rPr>
      <t xml:space="preserve">코어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필수</t>
    </r>
    <r>
      <rPr>
        <sz val="10"/>
        <rFont val="Arial"/>
        <family val="0"/>
        <charset val="1"/>
      </rPr>
      <t xml:space="preserve">) / HCI:</t>
    </r>
    <r>
      <rPr>
        <sz val="10"/>
        <rFont val="Noto Sans CJK SC"/>
        <family val="2"/>
      </rPr>
      <t xml:space="preserve">기술</t>
    </r>
  </si>
  <si>
    <t xml:space="preserve">Adams, Alexander</t>
  </si>
  <si>
    <t xml:space="preserve">CS 7496</t>
  </si>
  <si>
    <t xml:space="preserve">Computer Animation</t>
  </si>
  <si>
    <t xml:space="preserve">Ha, Sehoon</t>
  </si>
  <si>
    <t xml:space="preserve">CS 7632</t>
  </si>
  <si>
    <t xml:space="preserve">Game AI</t>
  </si>
  <si>
    <r>
      <rPr>
        <sz val="10"/>
        <rFont val="Arial"/>
        <family val="0"/>
        <charset val="1"/>
      </rPr>
      <t xml:space="preserve">AI:</t>
    </r>
    <r>
      <rPr>
        <sz val="10"/>
        <rFont val="Noto Sans CJK SC"/>
        <family val="2"/>
      </rPr>
      <t xml:space="preserve">선택 </t>
    </r>
    <r>
      <rPr>
        <sz val="10"/>
        <rFont val="Arial"/>
        <family val="0"/>
        <charset val="1"/>
      </rPr>
      <t xml:space="preserve">/ ML:</t>
    </r>
    <r>
      <rPr>
        <sz val="10"/>
        <rFont val="Noto Sans CJK SC"/>
        <family val="2"/>
      </rPr>
      <t xml:space="preserve">선택 </t>
    </r>
    <r>
      <rPr>
        <sz val="10"/>
        <rFont val="Arial"/>
        <family val="0"/>
        <charset val="1"/>
      </rPr>
      <t xml:space="preserve">/ HCI:</t>
    </r>
    <r>
      <rPr>
        <sz val="10"/>
        <rFont val="Noto Sans CJK SC"/>
        <family val="2"/>
      </rPr>
      <t xml:space="preserve">기술</t>
    </r>
  </si>
  <si>
    <t xml:space="preserve">CS 7637</t>
  </si>
  <si>
    <t xml:space="preserve">Knowledge-Based AI</t>
  </si>
  <si>
    <r>
      <rPr>
        <sz val="10"/>
        <rFont val="Arial"/>
        <family val="0"/>
        <charset val="1"/>
      </rPr>
      <t xml:space="preserve">AI:</t>
    </r>
    <r>
      <rPr>
        <sz val="10"/>
        <rFont val="Noto Sans CJK SC"/>
        <family val="2"/>
      </rPr>
      <t xml:space="preserve">코어 </t>
    </r>
    <r>
      <rPr>
        <sz val="10"/>
        <rFont val="Arial"/>
        <family val="0"/>
        <charset val="1"/>
      </rPr>
      <t xml:space="preserve">/ ML:</t>
    </r>
    <r>
      <rPr>
        <sz val="10"/>
        <rFont val="Noto Sans CJK SC"/>
        <family val="2"/>
      </rPr>
      <t xml:space="preserve">선택</t>
    </r>
  </si>
  <si>
    <t xml:space="preserve">CS 7638</t>
  </si>
  <si>
    <t xml:space="preserve">Robotics: AI Techniques</t>
  </si>
  <si>
    <r>
      <rPr>
        <sz val="10"/>
        <rFont val="Arial"/>
        <family val="0"/>
        <charset val="1"/>
      </rPr>
      <t xml:space="preserve">CPR:</t>
    </r>
    <r>
      <rPr>
        <sz val="10"/>
        <rFont val="Noto Sans CJK SC"/>
        <family val="2"/>
      </rPr>
      <t xml:space="preserve">로보틱스</t>
    </r>
  </si>
  <si>
    <t xml:space="preserve">Summet, Jay</t>
  </si>
  <si>
    <t xml:space="preserve">CS 7639</t>
  </si>
  <si>
    <t xml:space="preserve">Cyber Physical Design</t>
  </si>
  <si>
    <r>
      <rPr>
        <sz val="10"/>
        <rFont val="Arial"/>
        <family val="0"/>
        <charset val="1"/>
      </rPr>
      <t xml:space="preserve">CPR:</t>
    </r>
    <r>
      <rPr>
        <sz val="10"/>
        <rFont val="Noto Sans CJK SC"/>
        <family val="2"/>
      </rPr>
      <t xml:space="preserve">지각</t>
    </r>
  </si>
  <si>
    <t xml:space="preserve">Feron, Eric</t>
  </si>
  <si>
    <t xml:space="preserve">CS 7641</t>
  </si>
  <si>
    <t xml:space="preserve">Machine Learning</t>
  </si>
  <si>
    <r>
      <rPr>
        <sz val="10"/>
        <rFont val="Arial"/>
        <family val="0"/>
        <charset val="1"/>
      </rPr>
      <t xml:space="preserve">AI:</t>
    </r>
    <r>
      <rPr>
        <sz val="10"/>
        <rFont val="Noto Sans CJK SC"/>
        <family val="2"/>
      </rPr>
      <t xml:space="preserve">코어 </t>
    </r>
    <r>
      <rPr>
        <sz val="10"/>
        <rFont val="Arial"/>
        <family val="0"/>
        <charset val="1"/>
      </rPr>
      <t xml:space="preserve">/ ML:</t>
    </r>
    <r>
      <rPr>
        <sz val="10"/>
        <rFont val="Noto Sans CJK SC"/>
        <family val="2"/>
      </rPr>
      <t xml:space="preserve">코어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필수</t>
    </r>
    <r>
      <rPr>
        <sz val="10"/>
        <rFont val="Arial"/>
        <family val="0"/>
        <charset val="1"/>
      </rPr>
      <t xml:space="preserve">) / CPR:</t>
    </r>
    <r>
      <rPr>
        <sz val="10"/>
        <rFont val="Noto Sans CJK SC"/>
        <family val="2"/>
      </rPr>
      <t xml:space="preserve">코어</t>
    </r>
  </si>
  <si>
    <t xml:space="preserve">LaGrow, TJ</t>
  </si>
  <si>
    <t xml:space="preserve">CS 7642</t>
  </si>
  <si>
    <t xml:space="preserve">Reinforcement Learning</t>
  </si>
  <si>
    <r>
      <rPr>
        <sz val="10"/>
        <rFont val="Arial"/>
        <family val="0"/>
        <charset val="1"/>
      </rPr>
      <t xml:space="preserve">ML:</t>
    </r>
    <r>
      <rPr>
        <sz val="10"/>
        <rFont val="Noto Sans CJK SC"/>
        <family val="2"/>
      </rPr>
      <t xml:space="preserve">선택</t>
    </r>
  </si>
  <si>
    <t xml:space="preserve">Borela Valente, Rodrigo</t>
  </si>
  <si>
    <t xml:space="preserve">CS 7643</t>
  </si>
  <si>
    <t xml:space="preserve">Deep Learning</t>
  </si>
  <si>
    <t xml:space="preserve">Kira, Zsolt</t>
  </si>
  <si>
    <t xml:space="preserve">CS 7646</t>
  </si>
  <si>
    <t xml:space="preserve">Mach Learn For Trading</t>
  </si>
  <si>
    <t xml:space="preserve">CS 7650</t>
  </si>
  <si>
    <t xml:space="preserve">Natural Language</t>
  </si>
  <si>
    <r>
      <rPr>
        <sz val="10"/>
        <rFont val="Arial"/>
        <family val="0"/>
        <charset val="1"/>
      </rPr>
      <t xml:space="preserve">AI:</t>
    </r>
    <r>
      <rPr>
        <sz val="10"/>
        <rFont val="Noto Sans CJK SC"/>
        <family val="2"/>
      </rPr>
      <t xml:space="preserve">코어 </t>
    </r>
    <r>
      <rPr>
        <sz val="10"/>
        <rFont val="Arial"/>
        <family val="0"/>
        <charset val="1"/>
      </rPr>
      <t xml:space="preserve">/ ML:</t>
    </r>
    <r>
      <rPr>
        <sz val="10"/>
        <rFont val="Noto Sans CJK SC"/>
        <family val="2"/>
      </rPr>
      <t xml:space="preserve">선택 </t>
    </r>
    <r>
      <rPr>
        <sz val="10"/>
        <rFont val="Arial"/>
        <family val="0"/>
        <charset val="1"/>
      </rPr>
      <t xml:space="preserve">/ CPR:</t>
    </r>
    <r>
      <rPr>
        <sz val="10"/>
        <rFont val="Noto Sans CJK SC"/>
        <family val="2"/>
      </rPr>
      <t xml:space="preserve">지각</t>
    </r>
  </si>
  <si>
    <t xml:space="preserve">Riedl, Mark</t>
  </si>
  <si>
    <t xml:space="preserve">CS 8803 O08</t>
  </si>
  <si>
    <t xml:space="preserve">Compilers - Theory &amp; Practice</t>
  </si>
  <si>
    <t xml:space="preserve">O08</t>
  </si>
  <si>
    <t xml:space="preserve">CS 8803 O15</t>
  </si>
  <si>
    <t xml:space="preserve">Introduction to Computer Law</t>
  </si>
  <si>
    <t xml:space="preserve">O15</t>
  </si>
  <si>
    <t xml:space="preserve">Huffman, Laura
Omojokun, Olufisayo</t>
  </si>
  <si>
    <t xml:space="preserve">CS 8803 O17</t>
  </si>
  <si>
    <t xml:space="preserve">Global Entrepreneurship</t>
  </si>
  <si>
    <t xml:space="preserve">O17</t>
  </si>
  <si>
    <t xml:space="preserve">CS 8803 O20</t>
  </si>
  <si>
    <t xml:space="preserve">Quantum Hardware</t>
  </si>
  <si>
    <t xml:space="preserve">O20</t>
  </si>
  <si>
    <t xml:space="preserve">Khan, Asif
Parker, Colin</t>
  </si>
  <si>
    <t xml:space="preserve">CS 8803 O23</t>
  </si>
  <si>
    <t xml:space="preserve">Modern Internet Res Methods</t>
  </si>
  <si>
    <t xml:space="preserve">O23</t>
  </si>
  <si>
    <t xml:space="preserve">CS 8803 O24</t>
  </si>
  <si>
    <t xml:space="preserve">Intro to Research</t>
  </si>
  <si>
    <t xml:space="preserve">O24</t>
  </si>
  <si>
    <t xml:space="preserve">Lytle, Nicholas</t>
  </si>
  <si>
    <t xml:space="preserve">CS 8803 O25</t>
  </si>
  <si>
    <t xml:space="preserve">Advanced Wireless Networks</t>
  </si>
  <si>
    <t xml:space="preserve">O25</t>
  </si>
  <si>
    <t xml:space="preserve">CS 8803 O27</t>
  </si>
  <si>
    <t xml:space="preserve">Comp Graphics in the AI Era</t>
  </si>
  <si>
    <t xml:space="preserve">O27</t>
  </si>
  <si>
    <t xml:space="preserve">Zhu, Bo</t>
  </si>
  <si>
    <t xml:space="preserve">CS 8803 O29</t>
  </si>
  <si>
    <t xml:space="preserve">Health Sensing &amp; Interventions</t>
  </si>
  <si>
    <t xml:space="preserve">O29</t>
  </si>
  <si>
    <t xml:space="preserve">확인 필요</t>
  </si>
  <si>
    <t xml:space="preserve">CS 8803 O31</t>
  </si>
  <si>
    <t xml:space="preserve">Cybersecurity of Drones</t>
  </si>
  <si>
    <t xml:space="preserve">O31</t>
  </si>
  <si>
    <t xml:space="preserve">CS 8803 ORO</t>
  </si>
  <si>
    <t xml:space="preserve">MGT &amp; Leadership in CS</t>
  </si>
  <si>
    <t xml:space="preserve">ORO</t>
  </si>
  <si>
    <t xml:space="preserve">Shi, Breanna</t>
  </si>
  <si>
    <r>
      <rPr>
        <b val="true"/>
        <sz val="13"/>
        <color rgb="FF003057"/>
        <rFont val="Arial"/>
        <family val="0"/>
        <charset val="1"/>
      </rPr>
      <t xml:space="preserve">OMSCS Specialization </t>
    </r>
    <r>
      <rPr>
        <b val="true"/>
        <sz val="13"/>
        <color rgb="FF003057"/>
        <rFont val="Noto Sans CJK SC"/>
        <family val="2"/>
      </rPr>
      <t xml:space="preserve">요건 </t>
    </r>
    <r>
      <rPr>
        <b val="true"/>
        <sz val="13"/>
        <color rgb="FF003057"/>
        <rFont val="Arial"/>
        <family val="0"/>
        <charset val="1"/>
      </rPr>
      <t xml:space="preserve">(OMSCS</t>
    </r>
    <r>
      <rPr>
        <b val="true"/>
        <sz val="13"/>
        <color rgb="FF003057"/>
        <rFont val="Noto Sans CJK SC"/>
        <family val="2"/>
      </rPr>
      <t xml:space="preserve">에서 실제 개설되는 과목만</t>
    </r>
    <r>
      <rPr>
        <b val="true"/>
        <sz val="13"/>
        <color rgb="FF003057"/>
        <rFont val="Arial"/>
        <family val="0"/>
        <charset val="1"/>
      </rPr>
      <t xml:space="preserve">)</t>
    </r>
  </si>
  <si>
    <r>
      <rPr>
        <i val="true"/>
        <sz val="9"/>
        <color rgb="FFC00000"/>
        <rFont val="Arial"/>
        <family val="0"/>
        <charset val="1"/>
      </rPr>
      <t xml:space="preserve">DegreeWorks</t>
    </r>
    <r>
      <rPr>
        <i val="true"/>
        <sz val="9"/>
        <color rgb="FFC00000"/>
        <rFont val="Noto Sans CJK SC"/>
        <family val="2"/>
      </rPr>
      <t xml:space="preserve">는 </t>
    </r>
    <r>
      <rPr>
        <i val="true"/>
        <sz val="9"/>
        <color rgb="FFC00000"/>
        <rFont val="Arial"/>
        <family val="0"/>
        <charset val="1"/>
      </rPr>
      <t xml:space="preserve">specialization</t>
    </r>
    <r>
      <rPr>
        <i val="true"/>
        <sz val="9"/>
        <color rgb="FFC00000"/>
        <rFont val="Noto Sans CJK SC"/>
        <family val="2"/>
      </rPr>
      <t xml:space="preserve">을 추적해주지 않음</t>
    </r>
    <r>
      <rPr>
        <i val="true"/>
        <sz val="9"/>
        <color rgb="FFC00000"/>
        <rFont val="Arial"/>
        <family val="0"/>
        <charset val="1"/>
      </rPr>
      <t xml:space="preserve">. </t>
    </r>
    <r>
      <rPr>
        <i val="true"/>
        <sz val="9"/>
        <color rgb="FFC00000"/>
        <rFont val="Noto Sans CJK SC"/>
        <family val="2"/>
      </rPr>
      <t xml:space="preserve">졸업 신청 시 </t>
    </r>
    <r>
      <rPr>
        <i val="true"/>
        <sz val="9"/>
        <color rgb="FFC00000"/>
        <rFont val="Arial"/>
        <family val="0"/>
        <charset val="1"/>
      </rPr>
      <t xml:space="preserve">advising</t>
    </r>
    <r>
      <rPr>
        <i val="true"/>
        <sz val="9"/>
        <color rgb="FFC00000"/>
        <rFont val="Noto Sans CJK SC"/>
        <family val="2"/>
      </rPr>
      <t xml:space="preserve">이 수동 확인하므로 이 표로 직접 관리할 것</t>
    </r>
    <r>
      <rPr>
        <i val="true"/>
        <sz val="9"/>
        <color rgb="FFC00000"/>
        <rFont val="Arial"/>
        <family val="0"/>
        <charset val="1"/>
      </rPr>
      <t xml:space="preserve">.</t>
    </r>
  </si>
  <si>
    <t xml:space="preserve">Specialization</t>
  </si>
  <si>
    <t xml:space="preserve">구성</t>
  </si>
  <si>
    <t xml:space="preserve">필요 과목 수</t>
  </si>
  <si>
    <r>
      <rPr>
        <b val="true"/>
        <sz val="10"/>
        <color rgb="FFFFFFFF"/>
        <rFont val="Noto Sans CJK SC"/>
        <family val="2"/>
      </rPr>
      <t xml:space="preserve">해당 과목 </t>
    </r>
    <r>
      <rPr>
        <b val="true"/>
        <sz val="10"/>
        <color rgb="FFFFFFFF"/>
        <rFont val="Arial"/>
        <family val="0"/>
        <charset val="1"/>
      </rPr>
      <t xml:space="preserve">(OMSCS </t>
    </r>
    <r>
      <rPr>
        <b val="true"/>
        <sz val="10"/>
        <color rgb="FFFFFFFF"/>
        <rFont val="Noto Sans CJK SC"/>
        <family val="2"/>
      </rPr>
      <t xml:space="preserve">개설분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</si>
  <si>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CS 6515(GA) </t>
    </r>
    <r>
      <rPr>
        <b val="true"/>
        <sz val="10"/>
        <color rgb="FFFFFFFF"/>
        <rFont val="Noto Sans CJK SC"/>
        <family val="2"/>
      </rPr>
      <t xml:space="preserve">필요</t>
    </r>
    <r>
      <rPr>
        <b val="true"/>
        <sz val="10"/>
        <color rgb="FFFFFFFF"/>
        <rFont val="Arial"/>
        <family val="0"/>
        <charset val="1"/>
      </rPr>
      <t xml:space="preserve">?</t>
    </r>
  </si>
  <si>
    <t xml:space="preserve">알고리즘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</si>
  <si>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과목</t>
    </r>
  </si>
  <si>
    <t xml:space="preserve">CS 6300 Software Dev Process  |  CS 6515 Grad Algorithms</t>
  </si>
  <si>
    <r>
      <rPr>
        <b val="true"/>
        <sz val="10"/>
        <color rgb="FF006100"/>
        <rFont val="Noto Sans CJK SC"/>
        <family val="2"/>
      </rPr>
      <t xml:space="preserve">아니오 — </t>
    </r>
    <r>
      <rPr>
        <b val="true"/>
        <sz val="10"/>
        <color rgb="FF006100"/>
        <rFont val="Arial"/>
        <family val="0"/>
        <charset val="1"/>
      </rPr>
      <t xml:space="preserve">6300</t>
    </r>
    <r>
      <rPr>
        <b val="true"/>
        <sz val="10"/>
        <color rgb="FF006100"/>
        <rFont val="Noto Sans CJK SC"/>
        <family val="2"/>
      </rPr>
      <t xml:space="preserve">으로 대체 가능</t>
    </r>
  </si>
  <si>
    <t xml:space="preserve">코어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</si>
  <si>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과목</t>
    </r>
  </si>
  <si>
    <t xml:space="preserve">CS 6476 CV / CS 6601 AI / CS 7637 KBAI / CS 7641 ML / CS 7643 DL / CS 7650 NLP</t>
  </si>
  <si>
    <t xml:space="preserve">선택</t>
  </si>
  <si>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방법</t>
    </r>
    <r>
      <rPr>
        <sz val="10"/>
        <rFont val="Arial"/>
        <family val="0"/>
        <charset val="1"/>
      </rPr>
      <t xml:space="preserve">: CS 7632 Game AI  ||  </t>
    </r>
    <r>
      <rPr>
        <sz val="10"/>
        <rFont val="Noto Sans CJK SC"/>
        <family val="2"/>
      </rPr>
      <t xml:space="preserve">인지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윤리</t>
    </r>
    <r>
      <rPr>
        <sz val="10"/>
        <rFont val="Arial"/>
        <family val="0"/>
        <charset val="1"/>
      </rPr>
      <t xml:space="preserve">: CS 6440, CS 6603, CS 6460, CS 6750, CS 6795</t>
    </r>
  </si>
  <si>
    <t xml:space="preserve">Computing Systems</t>
  </si>
  <si>
    <r>
      <rPr>
        <sz val="10"/>
        <rFont val="Noto Sans CJK SC"/>
        <family val="2"/>
      </rPr>
      <t xml:space="preserve">알고리즘 </t>
    </r>
    <r>
      <rPr>
        <sz val="10"/>
        <rFont val="Arial"/>
        <family val="0"/>
        <charset val="1"/>
      </rPr>
      <t xml:space="preserve">1</t>
    </r>
  </si>
  <si>
    <t xml:space="preserve">CS 6515 Grad Algorithms</t>
  </si>
  <si>
    <t xml:space="preserve">예 — 필수</t>
  </si>
  <si>
    <r>
      <rPr>
        <sz val="10"/>
        <rFont val="Arial"/>
        <family val="0"/>
        <charset val="1"/>
      </rPr>
      <t xml:space="preserve">+2</t>
    </r>
    <r>
      <rPr>
        <sz val="10"/>
        <rFont val="Noto Sans CJK SC"/>
        <family val="2"/>
      </rPr>
      <t xml:space="preserve">과목</t>
    </r>
  </si>
  <si>
    <t xml:space="preserve">CS 6210 AOS / CS 6250 Networks / CS 6290 HPCA / CS 6300 SDP / CS 6400 Database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</si>
  <si>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과목</t>
    </r>
  </si>
  <si>
    <t xml:space="preserve">CS 6035, 6200, 6211, 6238, 6260, 6262, 6263, 6291, 6310, 6340, 6422, 6675, 6747, 7210, 7280, 7295, 7400, CSE 6220</t>
  </si>
  <si>
    <r>
      <rPr>
        <sz val="10"/>
        <rFont val="Arial"/>
        <family val="0"/>
        <charset val="1"/>
      </rPr>
      <t xml:space="preserve">+1</t>
    </r>
    <r>
      <rPr>
        <sz val="10"/>
        <rFont val="Noto Sans CJK SC"/>
        <family val="2"/>
      </rPr>
      <t xml:space="preserve">과목</t>
    </r>
  </si>
  <si>
    <t xml:space="preserve">CS 7641 Machine Learning</t>
  </si>
  <si>
    <t xml:space="preserve">CS 6476, 6601, 6603, 7280, 7632, 7637, 7642, 7643, 7646, 7650, CSE 6242, CSE 6250, ISYE 6420</t>
  </si>
  <si>
    <t xml:space="preserve">Comp. Perception &amp; Robotics</t>
  </si>
  <si>
    <t xml:space="preserve">CS 6601 AI  |  CS 7641 ML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</si>
  <si>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과목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각 영역 ≥</t>
    </r>
    <r>
      <rPr>
        <sz val="10"/>
        <rFont val="Arial"/>
        <family val="0"/>
        <charset val="1"/>
      </rPr>
      <t xml:space="preserve">1)</t>
    </r>
  </si>
  <si>
    <r>
      <rPr>
        <sz val="10"/>
        <rFont val="Noto Sans CJK SC"/>
        <family val="2"/>
      </rPr>
      <t xml:space="preserve">지각</t>
    </r>
    <r>
      <rPr>
        <sz val="10"/>
        <rFont val="Arial"/>
        <family val="0"/>
        <charset val="1"/>
      </rPr>
      <t xml:space="preserve">: CS 6475, 6476, 7639, 7650, 7711  ||  </t>
    </r>
    <r>
      <rPr>
        <sz val="10"/>
        <rFont val="Noto Sans CJK SC"/>
        <family val="2"/>
      </rPr>
      <t xml:space="preserve">로보틱스</t>
    </r>
    <r>
      <rPr>
        <sz val="10"/>
        <rFont val="Arial"/>
        <family val="0"/>
        <charset val="1"/>
      </rPr>
      <t xml:space="preserve">: CS 7638</t>
    </r>
  </si>
  <si>
    <t xml:space="preserve">1+1</t>
  </si>
  <si>
    <t xml:space="preserve">(CS 6491 / CS 6457 / CS 7496) + CS 6515</t>
  </si>
  <si>
    <t xml:space="preserve">CS 6457, 6475, 6476, 6491, 7496</t>
  </si>
  <si>
    <t xml:space="preserve">Human-Computer Interaction</t>
  </si>
  <si>
    <t xml:space="preserve">CS 7470 Ubiquitous Computing + CS 6750 HCI</t>
  </si>
  <si>
    <t xml:space="preserve">★ 아니오 — 알고리즘 요건 없음</t>
  </si>
  <si>
    <r>
      <rPr>
        <sz val="10"/>
        <rFont val="Noto Sans CJK SC"/>
        <family val="2"/>
      </rPr>
      <t xml:space="preserve">설계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평가</t>
    </r>
    <r>
      <rPr>
        <sz val="10"/>
        <rFont val="Arial"/>
        <family val="0"/>
        <charset val="1"/>
      </rPr>
      <t xml:space="preserve">: CS 6435, 6457, 6460, 6795  ||  </t>
    </r>
    <r>
      <rPr>
        <sz val="10"/>
        <rFont val="Noto Sans CJK SC"/>
        <family val="2"/>
      </rPr>
      <t xml:space="preserve">상호작용기술</t>
    </r>
    <r>
      <rPr>
        <sz val="10"/>
        <rFont val="Arial"/>
        <family val="0"/>
        <charset val="1"/>
      </rPr>
      <t xml:space="preserve">: CS 6440, 7470, 7632, 7711</t>
    </r>
  </si>
  <si>
    <r>
      <rPr>
        <b val="true"/>
        <sz val="10"/>
        <rFont val="Arial"/>
        <family val="0"/>
        <charset val="1"/>
      </rPr>
      <t xml:space="preserve">specialization 15</t>
    </r>
    <r>
      <rPr>
        <b val="true"/>
        <sz val="10"/>
        <rFont val="Noto Sans CJK SC"/>
        <family val="2"/>
      </rPr>
      <t xml:space="preserve">학점 </t>
    </r>
    <r>
      <rPr>
        <b val="true"/>
        <sz val="10"/>
        <rFont val="Arial"/>
        <family val="0"/>
        <charset val="1"/>
      </rPr>
      <t xml:space="preserve">+ </t>
    </r>
    <r>
      <rPr>
        <b val="true"/>
        <sz val="10"/>
        <rFont val="Noto Sans CJK SC"/>
        <family val="2"/>
      </rPr>
      <t xml:space="preserve">자유선택 </t>
    </r>
    <r>
      <rPr>
        <b val="true"/>
        <sz val="10"/>
        <rFont val="Arial"/>
        <family val="0"/>
        <charset val="1"/>
      </rPr>
      <t xml:space="preserve">15</t>
    </r>
    <r>
      <rPr>
        <b val="true"/>
        <sz val="10"/>
        <rFont val="Noto Sans CJK SC"/>
        <family val="2"/>
      </rPr>
      <t xml:space="preserve">학점 </t>
    </r>
    <r>
      <rPr>
        <b val="true"/>
        <sz val="10"/>
        <rFont val="Arial"/>
        <family val="0"/>
        <charset val="1"/>
      </rPr>
      <t xml:space="preserve">= 30</t>
    </r>
    <r>
      <rPr>
        <b val="true"/>
        <sz val="10"/>
        <rFont val="Noto Sans CJK SC"/>
        <family val="2"/>
      </rPr>
      <t xml:space="preserve">학점</t>
    </r>
    <r>
      <rPr>
        <b val="true"/>
        <sz val="10"/>
        <rFont val="Arial"/>
        <family val="0"/>
        <charset val="1"/>
      </rPr>
      <t xml:space="preserve">. specialization </t>
    </r>
    <r>
      <rPr>
        <b val="true"/>
        <sz val="10"/>
        <rFont val="Noto Sans CJK SC"/>
        <family val="2"/>
      </rPr>
      <t xml:space="preserve">과목은 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이상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자유선택은 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이상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누적 </t>
    </r>
    <r>
      <rPr>
        <b val="true"/>
        <sz val="10"/>
        <rFont val="Arial"/>
        <family val="0"/>
        <charset val="1"/>
      </rPr>
      <t xml:space="preserve">GPA 3.0.</t>
    </r>
  </si>
  <si>
    <r>
      <rPr>
        <b val="true"/>
        <sz val="13"/>
        <color rgb="FF003057"/>
        <rFont val="Noto Sans CJK SC"/>
        <family val="2"/>
      </rPr>
      <t xml:space="preserve">내 </t>
    </r>
    <r>
      <rPr>
        <b val="true"/>
        <sz val="13"/>
        <color rgb="FF003057"/>
        <rFont val="Arial"/>
        <family val="0"/>
        <charset val="1"/>
      </rPr>
      <t xml:space="preserve">30</t>
    </r>
    <r>
      <rPr>
        <b val="true"/>
        <sz val="13"/>
        <color rgb="FF003057"/>
        <rFont val="Noto Sans CJK SC"/>
        <family val="2"/>
      </rPr>
      <t xml:space="preserve">학점 진행 트래커</t>
    </r>
  </si>
  <si>
    <r>
      <rPr>
        <i val="true"/>
        <sz val="9"/>
        <color rgb="FF7F7F7F"/>
        <rFont val="Noto Sans CJK SC"/>
        <family val="2"/>
      </rPr>
      <t xml:space="preserve">노란 칸만 채우세요</t>
    </r>
    <r>
      <rPr>
        <i val="true"/>
        <sz val="9"/>
        <color rgb="FF7F7F7F"/>
        <rFont val="Arial"/>
        <family val="0"/>
        <charset val="1"/>
      </rPr>
      <t xml:space="preserve">. </t>
    </r>
    <r>
      <rPr>
        <i val="true"/>
        <sz val="9"/>
        <color rgb="FF7F7F7F"/>
        <rFont val="Noto Sans CJK SC"/>
        <family val="2"/>
      </rPr>
      <t xml:space="preserve">나머지는 자동 계산됩니다</t>
    </r>
    <r>
      <rPr>
        <i val="true"/>
        <sz val="9"/>
        <color rgb="FF7F7F7F"/>
        <rFont val="Arial"/>
        <family val="0"/>
        <charset val="1"/>
      </rPr>
      <t xml:space="preserve">. (Foundational </t>
    </r>
    <r>
      <rPr>
        <i val="true"/>
        <sz val="9"/>
        <color rgb="FF7F7F7F"/>
        <rFont val="Noto Sans CJK SC"/>
        <family val="2"/>
      </rPr>
      <t xml:space="preserve">열에는 예</t>
    </r>
    <r>
      <rPr>
        <i val="true"/>
        <sz val="9"/>
        <color rgb="FF7F7F7F"/>
        <rFont val="Arial"/>
        <family val="0"/>
        <charset val="1"/>
      </rPr>
      <t xml:space="preserve">/</t>
    </r>
    <r>
      <rPr>
        <i val="true"/>
        <sz val="9"/>
        <color rgb="FF7F7F7F"/>
        <rFont val="Noto Sans CJK SC"/>
        <family val="2"/>
      </rPr>
      <t xml:space="preserve">아니오</t>
    </r>
    <r>
      <rPr>
        <i val="true"/>
        <sz val="9"/>
        <color rgb="FF7F7F7F"/>
        <rFont val="Arial"/>
        <family val="0"/>
        <charset val="1"/>
      </rPr>
      <t xml:space="preserve">, Spec </t>
    </r>
    <r>
      <rPr>
        <i val="true"/>
        <sz val="9"/>
        <color rgb="FF7F7F7F"/>
        <rFont val="Noto Sans CJK SC"/>
        <family val="2"/>
      </rPr>
      <t xml:space="preserve">열에는 예</t>
    </r>
    <r>
      <rPr>
        <i val="true"/>
        <sz val="9"/>
        <color rgb="FF7F7F7F"/>
        <rFont val="Arial"/>
        <family val="0"/>
        <charset val="1"/>
      </rPr>
      <t xml:space="preserve">/</t>
    </r>
    <r>
      <rPr>
        <i val="true"/>
        <sz val="9"/>
        <color rgb="FF7F7F7F"/>
        <rFont val="Noto Sans CJK SC"/>
        <family val="2"/>
      </rPr>
      <t xml:space="preserve">아니오 입력</t>
    </r>
    <r>
      <rPr>
        <i val="true"/>
        <sz val="9"/>
        <color rgb="FF7F7F7F"/>
        <rFont val="Arial"/>
        <family val="0"/>
        <charset val="1"/>
      </rPr>
      <t xml:space="preserve">)</t>
    </r>
  </si>
  <si>
    <t xml:space="preserve">#</t>
  </si>
  <si>
    <t xml:space="preserve">학기</t>
  </si>
  <si>
    <t xml:space="preserve">과목코드</t>
  </si>
  <si>
    <t xml:space="preserve">성적</t>
  </si>
  <si>
    <t xml:space="preserve">Foundational?</t>
  </si>
  <si>
    <r>
      <rPr>
        <b val="true"/>
        <sz val="10"/>
        <color rgb="FFFFFFFF"/>
        <rFont val="Arial"/>
        <family val="0"/>
        <charset val="1"/>
      </rPr>
      <t xml:space="preserve">Specialization </t>
    </r>
    <r>
      <rPr>
        <b val="true"/>
        <sz val="10"/>
        <color rgb="FFFFFFFF"/>
        <rFont val="Noto Sans CJK SC"/>
        <family val="2"/>
      </rPr>
      <t xml:space="preserve">충족</t>
    </r>
    <r>
      <rPr>
        <b val="true"/>
        <sz val="10"/>
        <color rgb="FFFFFFFF"/>
        <rFont val="Arial"/>
        <family val="0"/>
        <charset val="1"/>
      </rPr>
      <t xml:space="preserve">?</t>
    </r>
  </si>
  <si>
    <t xml:space="preserve">비고</t>
  </si>
  <si>
    <t xml:space="preserve">Fall 2026</t>
  </si>
  <si>
    <t xml:space="preserve">Intro to Info Security</t>
  </si>
  <si>
    <t xml:space="preserve">A</t>
  </si>
  <si>
    <t xml:space="preserve">예</t>
  </si>
  <si>
    <r>
      <rPr>
        <sz val="10"/>
        <rFont val="Noto Sans CJK SC"/>
        <family val="2"/>
      </rPr>
      <t xml:space="preserve">← 예시 행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지우고 본인 것 입력</t>
    </r>
  </si>
  <si>
    <t xml:space="preserve">이수 학점 합계</t>
  </si>
  <si>
    <r>
      <rPr>
        <i val="true"/>
        <sz val="9"/>
        <color rgb="FF7F7F7F"/>
        <rFont val="Noto Sans CJK SC"/>
        <family val="2"/>
      </rPr>
      <t xml:space="preserve">졸업 요건 </t>
    </r>
    <r>
      <rPr>
        <i val="true"/>
        <sz val="9"/>
        <color rgb="FF7F7F7F"/>
        <rFont val="Arial"/>
        <family val="0"/>
        <charset val="1"/>
      </rPr>
      <t xml:space="preserve">30</t>
    </r>
    <r>
      <rPr>
        <i val="true"/>
        <sz val="9"/>
        <color rgb="FF7F7F7F"/>
        <rFont val="Noto Sans CJK SC"/>
        <family val="2"/>
      </rPr>
      <t xml:space="preserve">학점</t>
    </r>
  </si>
  <si>
    <t xml:space="preserve">남은 학점</t>
  </si>
  <si>
    <r>
      <rPr>
        <i val="true"/>
        <sz val="9"/>
        <color rgb="FF7F7F7F"/>
        <rFont val="Arial"/>
        <family val="0"/>
        <charset val="1"/>
      </rPr>
      <t xml:space="preserve">0</t>
    </r>
    <r>
      <rPr>
        <i val="true"/>
        <sz val="9"/>
        <color rgb="FF7F7F7F"/>
        <rFont val="Noto Sans CJK SC"/>
        <family val="2"/>
      </rPr>
      <t xml:space="preserve">이 되면 학점 요건 충족</t>
    </r>
  </si>
  <si>
    <r>
      <rPr>
        <b val="true"/>
        <sz val="10"/>
        <rFont val="Arial"/>
        <family val="0"/>
        <charset val="1"/>
      </rPr>
      <t xml:space="preserve">Foundational </t>
    </r>
    <r>
      <rPr>
        <b val="true"/>
        <sz val="10"/>
        <rFont val="Noto Sans CJK SC"/>
        <family val="2"/>
      </rPr>
      <t xml:space="preserve">이수 과목 수</t>
    </r>
  </si>
  <si>
    <r>
      <rPr>
        <i val="true"/>
        <sz val="9"/>
        <color rgb="FF7F7F7F"/>
        <rFont val="Arial"/>
        <family val="0"/>
        <charset val="1"/>
      </rPr>
      <t xml:space="preserve">1</t>
    </r>
    <r>
      <rPr>
        <i val="true"/>
        <sz val="9"/>
        <color rgb="FF7F7F7F"/>
        <rFont val="Noto Sans CJK SC"/>
        <family val="2"/>
      </rPr>
      <t xml:space="preserve">년 내 </t>
    </r>
    <r>
      <rPr>
        <i val="true"/>
        <sz val="9"/>
        <color rgb="FF7F7F7F"/>
        <rFont val="Arial"/>
        <family val="0"/>
        <charset val="1"/>
      </rPr>
      <t xml:space="preserve">2</t>
    </r>
    <r>
      <rPr>
        <i val="true"/>
        <sz val="9"/>
        <color rgb="FF7F7F7F"/>
        <rFont val="Noto Sans CJK SC"/>
        <family val="2"/>
      </rPr>
      <t xml:space="preserve">과목 </t>
    </r>
    <r>
      <rPr>
        <i val="true"/>
        <sz val="9"/>
        <color rgb="FF7F7F7F"/>
        <rFont val="Arial"/>
        <family val="0"/>
        <charset val="1"/>
      </rPr>
      <t xml:space="preserve">B </t>
    </r>
    <r>
      <rPr>
        <i val="true"/>
        <sz val="9"/>
        <color rgb="FF7F7F7F"/>
        <rFont val="Noto Sans CJK SC"/>
        <family val="2"/>
      </rPr>
      <t xml:space="preserve">이상 필요</t>
    </r>
  </si>
  <si>
    <r>
      <rPr>
        <b val="true"/>
        <sz val="10"/>
        <rFont val="Arial"/>
        <family val="0"/>
        <charset val="1"/>
      </rPr>
      <t xml:space="preserve">Specialization </t>
    </r>
    <r>
      <rPr>
        <b val="true"/>
        <sz val="10"/>
        <rFont val="Noto Sans CJK SC"/>
        <family val="2"/>
      </rPr>
      <t xml:space="preserve">충족 과목 수</t>
    </r>
  </si>
  <si>
    <r>
      <rPr>
        <i val="true"/>
        <sz val="9"/>
        <color rgb="FF7F7F7F"/>
        <rFont val="Arial"/>
        <family val="0"/>
        <charset val="1"/>
      </rPr>
      <t xml:space="preserve">15</t>
    </r>
    <r>
      <rPr>
        <i val="true"/>
        <sz val="9"/>
        <color rgb="FF7F7F7F"/>
        <rFont val="Noto Sans CJK SC"/>
        <family val="2"/>
      </rPr>
      <t xml:space="preserve">학점 </t>
    </r>
    <r>
      <rPr>
        <i val="true"/>
        <sz val="9"/>
        <color rgb="FF7F7F7F"/>
        <rFont val="Arial"/>
        <family val="0"/>
        <charset val="1"/>
      </rPr>
      <t xml:space="preserve">= 5</t>
    </r>
    <r>
      <rPr>
        <i val="true"/>
        <sz val="9"/>
        <color rgb="FF7F7F7F"/>
        <rFont val="Noto Sans CJK SC"/>
        <family val="2"/>
      </rPr>
      <t xml:space="preserve">과목 필요</t>
    </r>
  </si>
  <si>
    <t xml:space="preserve">입력된 과목 수</t>
  </si>
  <si>
    <r>
      <rPr>
        <i val="true"/>
        <sz val="9"/>
        <color rgb="FF7F7F7F"/>
        <rFont val="Noto Sans CJK SC"/>
        <family val="2"/>
      </rPr>
      <t xml:space="preserve">총 </t>
    </r>
    <r>
      <rPr>
        <i val="true"/>
        <sz val="9"/>
        <color rgb="FF7F7F7F"/>
        <rFont val="Arial"/>
        <family val="0"/>
        <charset val="1"/>
      </rPr>
      <t xml:space="preserve">10</t>
    </r>
    <r>
      <rPr>
        <i val="true"/>
        <sz val="9"/>
        <color rgb="FF7F7F7F"/>
        <rFont val="Noto Sans CJK SC"/>
        <family val="2"/>
      </rPr>
      <t xml:space="preserve">과목</t>
    </r>
  </si>
  <si>
    <r>
      <rPr>
        <b val="true"/>
        <sz val="13"/>
        <color rgb="FF003057"/>
        <rFont val="Noto Sans CJK SC"/>
        <family val="2"/>
      </rPr>
      <t xml:space="preserve">등록하면 안 되는 섹션 </t>
    </r>
    <r>
      <rPr>
        <b val="true"/>
        <sz val="13"/>
        <color rgb="FF003057"/>
        <rFont val="Arial"/>
        <family val="0"/>
        <charset val="1"/>
      </rPr>
      <t xml:space="preserve">/ </t>
    </r>
    <r>
      <rPr>
        <b val="true"/>
        <sz val="13"/>
        <color rgb="FF003057"/>
        <rFont val="Noto Sans CJK SC"/>
        <family val="2"/>
      </rPr>
      <t xml:space="preserve">학점 인정 안 되는 과목</t>
    </r>
  </si>
  <si>
    <r>
      <rPr>
        <i val="true"/>
        <sz val="9"/>
        <color rgb="FFC00000"/>
        <rFont val="Arial"/>
        <family val="0"/>
        <charset val="1"/>
      </rPr>
      <t xml:space="preserve">OCY = OMS Cybersecurity </t>
    </r>
    <r>
      <rPr>
        <i val="true"/>
        <sz val="9"/>
        <color rgb="FFC00000"/>
        <rFont val="Noto Sans CJK SC"/>
        <family val="2"/>
      </rPr>
      <t xml:space="preserve">전용</t>
    </r>
    <r>
      <rPr>
        <i val="true"/>
        <sz val="9"/>
        <color rgb="FFC00000"/>
        <rFont val="Arial"/>
        <family val="0"/>
        <charset val="1"/>
      </rPr>
      <t xml:space="preserve">, OAN = OMS Analytics </t>
    </r>
    <r>
      <rPr>
        <i val="true"/>
        <sz val="9"/>
        <color rgb="FFC00000"/>
        <rFont val="Noto Sans CJK SC"/>
        <family val="2"/>
      </rPr>
      <t xml:space="preserve">전용</t>
    </r>
    <r>
      <rPr>
        <i val="true"/>
        <sz val="9"/>
        <color rgb="FFC00000"/>
        <rFont val="Arial"/>
        <family val="0"/>
        <charset val="1"/>
      </rPr>
      <t xml:space="preserve">. OMSCS </t>
    </r>
    <r>
      <rPr>
        <i val="true"/>
        <sz val="9"/>
        <color rgb="FFC00000"/>
        <rFont val="Noto Sans CJK SC"/>
        <family val="2"/>
      </rPr>
      <t xml:space="preserve">학생이 등록 시도하면 </t>
    </r>
    <r>
      <rPr>
        <i val="true"/>
        <sz val="9"/>
        <color rgb="FFC00000"/>
        <rFont val="Arial"/>
        <family val="0"/>
        <charset val="1"/>
      </rPr>
      <t xml:space="preserve">RESTRICTION </t>
    </r>
    <r>
      <rPr>
        <i val="true"/>
        <sz val="9"/>
        <color rgb="FFC00000"/>
        <rFont val="Noto Sans CJK SC"/>
        <family val="2"/>
      </rPr>
      <t xml:space="preserve">에러가 납니다</t>
    </r>
    <r>
      <rPr>
        <i val="true"/>
        <sz val="9"/>
        <color rgb="FFC00000"/>
        <rFont val="Arial"/>
        <family val="0"/>
        <charset val="1"/>
      </rPr>
      <t xml:space="preserve">. </t>
    </r>
    <r>
      <rPr>
        <i val="true"/>
        <sz val="9"/>
        <color rgb="FFC00000"/>
        <rFont val="Noto Sans CJK SC"/>
        <family val="2"/>
      </rPr>
      <t xml:space="preserve">반드시 </t>
    </r>
    <r>
      <rPr>
        <i val="true"/>
        <sz val="9"/>
        <color rgb="FFC00000"/>
        <rFont val="Arial"/>
        <family val="0"/>
        <charset val="1"/>
      </rPr>
      <t xml:space="preserve">O01 </t>
    </r>
    <r>
      <rPr>
        <i val="true"/>
        <sz val="9"/>
        <color rgb="FFC00000"/>
        <rFont val="Noto Sans CJK SC"/>
        <family val="2"/>
      </rPr>
      <t xml:space="preserve">섹션으로 등록하세요</t>
    </r>
    <r>
      <rPr>
        <i val="true"/>
        <sz val="9"/>
        <color rgb="FFC00000"/>
        <rFont val="Arial"/>
        <family val="0"/>
        <charset val="1"/>
      </rPr>
      <t xml:space="preserve">.</t>
    </r>
  </si>
  <si>
    <t xml:space="preserve">왜 안 되는지</t>
  </si>
  <si>
    <t xml:space="preserve">OCY</t>
  </si>
  <si>
    <r>
      <rPr>
        <sz val="10"/>
        <rFont val="Arial"/>
        <family val="0"/>
        <charset val="1"/>
      </rPr>
      <t xml:space="preserve">OMS Cybersecurity </t>
    </r>
    <r>
      <rPr>
        <sz val="10"/>
        <rFont val="Noto Sans CJK SC"/>
        <family val="2"/>
      </rPr>
      <t xml:space="preserve">전용 섹션</t>
    </r>
  </si>
  <si>
    <t xml:space="preserve">CS 6239</t>
  </si>
  <si>
    <t xml:space="preserve">Enterprise Cyber Mgt</t>
  </si>
  <si>
    <t xml:space="preserve">OAN</t>
  </si>
  <si>
    <r>
      <rPr>
        <sz val="10"/>
        <rFont val="Arial"/>
        <family val="0"/>
        <charset val="1"/>
      </rPr>
      <t xml:space="preserve">OMS Analytics </t>
    </r>
    <r>
      <rPr>
        <sz val="10"/>
        <rFont val="Noto Sans CJK SC"/>
        <family val="2"/>
      </rPr>
      <t xml:space="preserve">전용 섹션</t>
    </r>
  </si>
  <si>
    <t xml:space="preserve">CS 6727</t>
  </si>
  <si>
    <t xml:space="preserve">Cyber Sec Practicum</t>
  </si>
  <si>
    <t xml:space="preserve">OCL</t>
  </si>
  <si>
    <t xml:space="preserve">CS 8803 OCY</t>
  </si>
  <si>
    <t xml:space="preserve">Human Dimension of Cybersec</t>
  </si>
  <si>
    <r>
      <rPr>
        <b val="true"/>
        <sz val="10"/>
        <color rgb="FFC00000"/>
        <rFont val="Arial"/>
        <family val="0"/>
        <charset val="1"/>
      </rPr>
      <t xml:space="preserve">CS 8001 </t>
    </r>
    <r>
      <rPr>
        <b val="true"/>
        <sz val="10"/>
        <color rgb="FFC00000"/>
        <rFont val="Noto Sans CJK SC"/>
        <family val="2"/>
      </rPr>
      <t xml:space="preserve">세미나 </t>
    </r>
    <r>
      <rPr>
        <b val="true"/>
        <sz val="10"/>
        <color rgb="FFC00000"/>
        <rFont val="Arial"/>
        <family val="0"/>
        <charset val="1"/>
      </rPr>
      <t xml:space="preserve">(1</t>
    </r>
    <r>
      <rPr>
        <b val="true"/>
        <sz val="10"/>
        <color rgb="FFC00000"/>
        <rFont val="Noto Sans CJK SC"/>
        <family val="2"/>
      </rPr>
      <t xml:space="preserve">학점</t>
    </r>
    <r>
      <rPr>
        <b val="true"/>
        <sz val="10"/>
        <color rgb="FFC00000"/>
        <rFont val="Arial"/>
        <family val="0"/>
        <charset val="1"/>
      </rPr>
      <t xml:space="preserve">, Pass/Fail) — foundational </t>
    </r>
    <r>
      <rPr>
        <b val="true"/>
        <sz val="10"/>
        <color rgb="FFC00000"/>
        <rFont val="Noto Sans CJK SC"/>
        <family val="2"/>
      </rPr>
      <t xml:space="preserve">요건에도 졸업 </t>
    </r>
    <r>
      <rPr>
        <b val="true"/>
        <sz val="10"/>
        <color rgb="FFC00000"/>
        <rFont val="Arial"/>
        <family val="0"/>
        <charset val="1"/>
      </rPr>
      <t xml:space="preserve">30</t>
    </r>
    <r>
      <rPr>
        <b val="true"/>
        <sz val="10"/>
        <color rgb="FFC00000"/>
        <rFont val="Noto Sans CJK SC"/>
        <family val="2"/>
      </rPr>
      <t xml:space="preserve">학점에도 포함되지 않음</t>
    </r>
    <r>
      <rPr>
        <b val="true"/>
        <sz val="10"/>
        <color rgb="FFC00000"/>
        <rFont val="Arial"/>
        <family val="0"/>
        <charset val="1"/>
      </rPr>
      <t xml:space="preserve">. </t>
    </r>
    <r>
      <rPr>
        <b val="true"/>
        <sz val="10"/>
        <color rgb="FFC00000"/>
        <rFont val="Noto Sans CJK SC"/>
        <family val="2"/>
      </rPr>
      <t xml:space="preserve">순수 학습용</t>
    </r>
    <r>
      <rPr>
        <b val="true"/>
        <sz val="10"/>
        <color rgb="FFC00000"/>
        <rFont val="Arial"/>
        <family val="0"/>
        <charset val="1"/>
      </rPr>
      <t xml:space="preserve">.</t>
    </r>
  </si>
  <si>
    <t xml:space="preserve">세미나 주제</t>
  </si>
  <si>
    <t xml:space="preserve">CS 8001</t>
  </si>
  <si>
    <t xml:space="preserve">Optimization Algorithms in Hardware</t>
  </si>
  <si>
    <t xml:space="preserve">OAH</t>
  </si>
  <si>
    <t xml:space="preserve">졸업 학점 미인정</t>
  </si>
  <si>
    <t xml:space="preserve">Computing in Python</t>
  </si>
  <si>
    <t xml:space="preserve">OCS</t>
  </si>
  <si>
    <t xml:space="preserve">Collaborative Team Skills for Software Development</t>
  </si>
  <si>
    <t xml:space="preserve">OCT</t>
  </si>
  <si>
    <t xml:space="preserve">Data Structures &amp; Algorithms</t>
  </si>
  <si>
    <t xml:space="preserve">ODA</t>
  </si>
  <si>
    <t xml:space="preserve">CS Educators</t>
  </si>
  <si>
    <t xml:space="preserve">OED</t>
  </si>
  <si>
    <t xml:space="preserve">Global Entrepreneurship-Launch</t>
  </si>
  <si>
    <t xml:space="preserve">OGE</t>
  </si>
  <si>
    <t xml:space="preserve">Deep Reinforcement Learning and Humanoid Robotics</t>
  </si>
  <si>
    <t xml:space="preserve">OHR</t>
  </si>
  <si>
    <t xml:space="preserve">Living with Artificial Intelligence</t>
  </si>
  <si>
    <t xml:space="preserve">OLA</t>
  </si>
  <si>
    <t xml:space="preserve">The Language of Proofs</t>
  </si>
  <si>
    <t xml:space="preserve">OLP</t>
  </si>
  <si>
    <t xml:space="preserve">NeuroAI: Intelligence, Brains, and Machines</t>
  </si>
  <si>
    <t xml:space="preserve">ONA</t>
  </si>
  <si>
    <t xml:space="preserve">Introduction to Online Learning Success</t>
  </si>
  <si>
    <t xml:space="preserve">OOL</t>
  </si>
  <si>
    <t xml:space="preserve">Object-Oriented Programming in Java</t>
  </si>
  <si>
    <t xml:space="preserve">OOP</t>
  </si>
  <si>
    <t xml:space="preserve">Physical AI: Embodied Intelligence and Real-World Interaction</t>
  </si>
  <si>
    <t xml:space="preserve">OPA</t>
  </si>
  <si>
    <t xml:space="preserve">PhD Applicants</t>
  </si>
  <si>
    <t xml:space="preserve">OPH</t>
  </si>
  <si>
    <t xml:space="preserve">Language Models, Reasoning, and Agents</t>
  </si>
  <si>
    <t xml:space="preserve">ORA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</si>
</sst>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3057"/>
      <name val="Arial"/>
      <family val="0"/>
      <charset val="1"/>
    </font>
    <font>
      <b val="true"/>
      <sz val="13"/>
      <color rgb="FF003057"/>
      <name val="Noto Sans CJK SC"/>
      <family val="2"/>
    </font>
    <font>
      <i val="true"/>
      <sz val="9"/>
      <color rgb="FF7F7F7F"/>
      <name val="Noto Sans CJK SC"/>
      <family val="2"/>
    </font>
    <font>
      <i val="true"/>
      <sz val="9"/>
      <color rgb="FF7F7F7F"/>
      <name val="Arial"/>
      <family val="0"/>
      <charset val="1"/>
    </font>
    <font>
      <i val="true"/>
      <sz val="9"/>
      <color rgb="FFC00000"/>
      <name val="Noto Sans CJK SC"/>
      <family val="2"/>
    </font>
    <font>
      <i val="true"/>
      <sz val="9"/>
      <color rgb="FFC00000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6100"/>
      <name val="Noto Sans CJK SC"/>
      <family val="2"/>
    </font>
    <font>
      <sz val="10"/>
      <name val="Noto Sans CJK SC"/>
      <family val="2"/>
    </font>
    <font>
      <b val="true"/>
      <sz val="10"/>
      <color rgb="FFC00000"/>
      <name val="Noto Sans CJK SC"/>
      <family val="2"/>
    </font>
    <font>
      <b val="true"/>
      <sz val="1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name val="Noto Sans CJK SC"/>
      <family val="2"/>
    </font>
    <font>
      <b val="true"/>
      <sz val="11"/>
      <color rgb="FF003057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03057"/>
        <bgColor rgb="FF003300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FCE4D6"/>
      </patternFill>
    </fill>
    <fill>
      <patternFill patternType="solid">
        <fgColor rgb="FFF8CBAD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  <fill>
      <patternFill patternType="solid">
        <fgColor rgb="FFB3A36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00305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B3A369"/>
      <rgbColor rgb="FF003057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2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42"/>
    <col collapsed="false" customWidth="true" hidden="false" outlineLevel="0" max="9" min="9" style="0" width="10"/>
    <col collapsed="false" customWidth="true" hidden="false" outlineLevel="0" max="11" min="10" style="0" width="9"/>
    <col collapsed="false" customWidth="true" hidden="false" outlineLevel="0" max="12" min="12" style="0" width="15"/>
    <col collapsed="false" customWidth="true" hidden="false" outlineLevel="0" max="13" min="13" style="0" width="26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5" t="s">
        <v>6</v>
      </c>
      <c r="E5" s="4" t="s">
        <v>7</v>
      </c>
      <c r="F5" s="5" t="s">
        <v>8</v>
      </c>
      <c r="G5" s="4" t="s">
        <v>9</v>
      </c>
      <c r="H5" s="5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</row>
    <row r="6" customFormat="false" ht="30" hidden="false" customHeight="true" outlineLevel="0" collapsed="false">
      <c r="A6" s="6" t="s">
        <v>16</v>
      </c>
      <c r="B6" s="7" t="s">
        <v>17</v>
      </c>
      <c r="C6" s="6" t="s">
        <v>18</v>
      </c>
      <c r="D6" s="6" t="n">
        <v>84244</v>
      </c>
      <c r="E6" s="6" t="n">
        <v>3</v>
      </c>
      <c r="F6" s="8" t="s">
        <v>19</v>
      </c>
      <c r="G6" s="9" t="s">
        <v>20</v>
      </c>
      <c r="H6" s="7" t="s">
        <v>21</v>
      </c>
      <c r="I6" s="6" t="n">
        <v>404</v>
      </c>
      <c r="J6" s="6" t="n">
        <v>750</v>
      </c>
      <c r="K6" s="6" t="n">
        <v>0</v>
      </c>
      <c r="L6" s="10" t="s">
        <v>22</v>
      </c>
      <c r="M6" s="7" t="s">
        <v>23</v>
      </c>
    </row>
    <row r="7" customFormat="false" ht="30" hidden="false" customHeight="true" outlineLevel="0" collapsed="false">
      <c r="A7" s="6" t="s">
        <v>24</v>
      </c>
      <c r="B7" s="7" t="s">
        <v>25</v>
      </c>
      <c r="C7" s="6" t="s">
        <v>18</v>
      </c>
      <c r="D7" s="6" t="n">
        <v>85340</v>
      </c>
      <c r="E7" s="6" t="n">
        <v>3</v>
      </c>
      <c r="F7" s="8" t="s">
        <v>19</v>
      </c>
      <c r="G7" s="9" t="s">
        <v>26</v>
      </c>
      <c r="H7" s="7" t="s">
        <v>21</v>
      </c>
      <c r="I7" s="6" t="n">
        <v>634</v>
      </c>
      <c r="J7" s="6" t="n">
        <v>1150</v>
      </c>
      <c r="K7" s="6" t="n">
        <v>0</v>
      </c>
      <c r="L7" s="10" t="s">
        <v>22</v>
      </c>
      <c r="M7" s="7" t="s">
        <v>27</v>
      </c>
    </row>
    <row r="8" customFormat="false" ht="30" hidden="false" customHeight="true" outlineLevel="0" collapsed="false">
      <c r="A8" s="6" t="s">
        <v>28</v>
      </c>
      <c r="B8" s="7" t="s">
        <v>29</v>
      </c>
      <c r="C8" s="6" t="s">
        <v>18</v>
      </c>
      <c r="D8" s="6" t="n">
        <v>83927</v>
      </c>
      <c r="E8" s="6" t="n">
        <v>3</v>
      </c>
      <c r="F8" s="8" t="s">
        <v>19</v>
      </c>
      <c r="G8" s="9" t="s">
        <v>30</v>
      </c>
      <c r="H8" s="7" t="s">
        <v>31</v>
      </c>
      <c r="I8" s="6" t="n">
        <v>109</v>
      </c>
      <c r="J8" s="6" t="n">
        <v>475</v>
      </c>
      <c r="K8" s="6" t="n">
        <v>0</v>
      </c>
      <c r="L8" s="10" t="s">
        <v>22</v>
      </c>
      <c r="M8" s="7" t="s">
        <v>32</v>
      </c>
    </row>
    <row r="9" customFormat="false" ht="30" hidden="false" customHeight="true" outlineLevel="0" collapsed="false">
      <c r="A9" s="6" t="s">
        <v>33</v>
      </c>
      <c r="B9" s="7" t="s">
        <v>34</v>
      </c>
      <c r="C9" s="6" t="s">
        <v>18</v>
      </c>
      <c r="D9" s="6" t="n">
        <v>89665</v>
      </c>
      <c r="E9" s="6" t="n">
        <v>3</v>
      </c>
      <c r="F9" s="8" t="s">
        <v>19</v>
      </c>
      <c r="G9" s="6"/>
      <c r="H9" s="7" t="s">
        <v>21</v>
      </c>
      <c r="I9" s="6" t="n">
        <v>50</v>
      </c>
      <c r="J9" s="6" t="n">
        <v>75</v>
      </c>
      <c r="K9" s="6" t="n">
        <v>0</v>
      </c>
      <c r="L9" s="11" t="s">
        <v>35</v>
      </c>
      <c r="M9" s="7" t="s">
        <v>32</v>
      </c>
    </row>
    <row r="10" customFormat="false" ht="30" hidden="false" customHeight="true" outlineLevel="0" collapsed="false">
      <c r="A10" s="6" t="s">
        <v>36</v>
      </c>
      <c r="B10" s="7" t="s">
        <v>37</v>
      </c>
      <c r="C10" s="6" t="s">
        <v>18</v>
      </c>
      <c r="D10" s="6" t="n">
        <v>86006</v>
      </c>
      <c r="E10" s="6" t="n">
        <v>3</v>
      </c>
      <c r="F10" s="8" t="s">
        <v>19</v>
      </c>
      <c r="G10" s="9" t="s">
        <v>38</v>
      </c>
      <c r="H10" s="7" t="s">
        <v>21</v>
      </c>
      <c r="I10" s="6" t="n">
        <v>89</v>
      </c>
      <c r="J10" s="6" t="n">
        <v>100</v>
      </c>
      <c r="K10" s="6" t="n">
        <v>0</v>
      </c>
      <c r="L10" s="10" t="s">
        <v>22</v>
      </c>
      <c r="M10" s="7" t="s">
        <v>39</v>
      </c>
    </row>
    <row r="11" customFormat="false" ht="30" hidden="false" customHeight="true" outlineLevel="0" collapsed="false">
      <c r="A11" s="6" t="s">
        <v>40</v>
      </c>
      <c r="B11" s="7" t="s">
        <v>41</v>
      </c>
      <c r="C11" s="6" t="s">
        <v>18</v>
      </c>
      <c r="D11" s="6" t="n">
        <v>83928</v>
      </c>
      <c r="E11" s="6" t="n">
        <v>3</v>
      </c>
      <c r="F11" s="8" t="s">
        <v>19</v>
      </c>
      <c r="G11" s="9" t="s">
        <v>38</v>
      </c>
      <c r="H11" s="7" t="s">
        <v>31</v>
      </c>
      <c r="I11" s="6" t="n">
        <v>29</v>
      </c>
      <c r="J11" s="6" t="n">
        <v>700</v>
      </c>
      <c r="K11" s="6" t="n">
        <v>209</v>
      </c>
      <c r="L11" s="12" t="s">
        <v>42</v>
      </c>
      <c r="M11" s="7" t="s">
        <v>43</v>
      </c>
    </row>
    <row r="12" customFormat="false" ht="30" hidden="false" customHeight="true" outlineLevel="0" collapsed="false">
      <c r="A12" s="6" t="s">
        <v>44</v>
      </c>
      <c r="B12" s="7" t="s">
        <v>45</v>
      </c>
      <c r="C12" s="6" t="s">
        <v>18</v>
      </c>
      <c r="D12" s="6" t="n">
        <v>87076</v>
      </c>
      <c r="E12" s="6" t="n">
        <v>3</v>
      </c>
      <c r="F12" s="8" t="s">
        <v>19</v>
      </c>
      <c r="G12" s="9" t="s">
        <v>26</v>
      </c>
      <c r="H12" s="7" t="s">
        <v>21</v>
      </c>
      <c r="I12" s="6" t="n">
        <v>131</v>
      </c>
      <c r="J12" s="6" t="n">
        <v>150</v>
      </c>
      <c r="K12" s="6" t="n">
        <v>0</v>
      </c>
      <c r="L12" s="10" t="s">
        <v>22</v>
      </c>
      <c r="M12" s="7" t="s">
        <v>46</v>
      </c>
    </row>
    <row r="13" customFormat="false" ht="30" hidden="false" customHeight="true" outlineLevel="0" collapsed="false">
      <c r="A13" s="6" t="s">
        <v>47</v>
      </c>
      <c r="B13" s="7" t="s">
        <v>48</v>
      </c>
      <c r="C13" s="6" t="s">
        <v>18</v>
      </c>
      <c r="D13" s="6" t="n">
        <v>91357</v>
      </c>
      <c r="E13" s="6" t="n">
        <v>3</v>
      </c>
      <c r="F13" s="9" t="s">
        <v>49</v>
      </c>
      <c r="G13" s="6"/>
      <c r="H13" s="7"/>
      <c r="I13" s="6" t="n">
        <v>3</v>
      </c>
      <c r="J13" s="6" t="n">
        <v>50</v>
      </c>
      <c r="K13" s="6" t="n">
        <v>94</v>
      </c>
      <c r="L13" s="12" t="s">
        <v>42</v>
      </c>
      <c r="M13" s="7" t="s">
        <v>50</v>
      </c>
    </row>
    <row r="14" customFormat="false" ht="30" hidden="false" customHeight="true" outlineLevel="0" collapsed="false">
      <c r="A14" s="6" t="s">
        <v>51</v>
      </c>
      <c r="B14" s="7" t="s">
        <v>52</v>
      </c>
      <c r="C14" s="6" t="s">
        <v>18</v>
      </c>
      <c r="D14" s="6" t="n">
        <v>84604</v>
      </c>
      <c r="E14" s="6" t="n">
        <v>3</v>
      </c>
      <c r="F14" s="8" t="s">
        <v>19</v>
      </c>
      <c r="G14" s="9" t="s">
        <v>38</v>
      </c>
      <c r="H14" s="7" t="s">
        <v>21</v>
      </c>
      <c r="I14" s="6" t="n">
        <v>168</v>
      </c>
      <c r="J14" s="6" t="n">
        <v>300</v>
      </c>
      <c r="K14" s="6" t="n">
        <v>0</v>
      </c>
      <c r="L14" s="10" t="s">
        <v>22</v>
      </c>
      <c r="M14" s="7" t="s">
        <v>23</v>
      </c>
    </row>
    <row r="15" customFormat="false" ht="30" hidden="false" customHeight="true" outlineLevel="0" collapsed="false">
      <c r="A15" s="6" t="s">
        <v>53</v>
      </c>
      <c r="B15" s="7" t="s">
        <v>54</v>
      </c>
      <c r="C15" s="6" t="s">
        <v>18</v>
      </c>
      <c r="D15" s="6" t="n">
        <v>85399</v>
      </c>
      <c r="E15" s="6" t="n">
        <v>3</v>
      </c>
      <c r="F15" s="8" t="s">
        <v>19</v>
      </c>
      <c r="G15" s="9" t="s">
        <v>38</v>
      </c>
      <c r="H15" s="7" t="s">
        <v>21</v>
      </c>
      <c r="I15" s="6" t="n">
        <v>184</v>
      </c>
      <c r="J15" s="6" t="n">
        <v>225</v>
      </c>
      <c r="K15" s="6" t="n">
        <v>0</v>
      </c>
      <c r="L15" s="10" t="s">
        <v>22</v>
      </c>
      <c r="M15" s="7" t="s">
        <v>55</v>
      </c>
    </row>
    <row r="16" customFormat="false" ht="30" hidden="false" customHeight="true" outlineLevel="0" collapsed="false">
      <c r="A16" s="6" t="s">
        <v>56</v>
      </c>
      <c r="B16" s="7" t="s">
        <v>57</v>
      </c>
      <c r="C16" s="6" t="s">
        <v>18</v>
      </c>
      <c r="D16" s="6" t="n">
        <v>87937</v>
      </c>
      <c r="E16" s="6" t="n">
        <v>3</v>
      </c>
      <c r="F16" s="8" t="s">
        <v>19</v>
      </c>
      <c r="G16" s="6"/>
      <c r="H16" s="7"/>
      <c r="I16" s="6" t="n">
        <v>38</v>
      </c>
      <c r="J16" s="6" t="n">
        <v>50</v>
      </c>
      <c r="K16" s="6" t="n">
        <v>0</v>
      </c>
      <c r="L16" s="11" t="s">
        <v>35</v>
      </c>
      <c r="M16" s="7" t="s">
        <v>23</v>
      </c>
    </row>
    <row r="17" customFormat="false" ht="30" hidden="false" customHeight="true" outlineLevel="0" collapsed="false">
      <c r="A17" s="6" t="s">
        <v>58</v>
      </c>
      <c r="B17" s="7" t="s">
        <v>59</v>
      </c>
      <c r="C17" s="6" t="s">
        <v>18</v>
      </c>
      <c r="D17" s="6" t="n">
        <v>86133</v>
      </c>
      <c r="E17" s="6" t="n">
        <v>3</v>
      </c>
      <c r="F17" s="9" t="s">
        <v>49</v>
      </c>
      <c r="G17" s="6"/>
      <c r="H17" s="7"/>
      <c r="I17" s="6" t="n">
        <v>11</v>
      </c>
      <c r="J17" s="6" t="n">
        <v>50</v>
      </c>
      <c r="K17" s="6" t="n">
        <v>0</v>
      </c>
      <c r="L17" s="11" t="s">
        <v>35</v>
      </c>
      <c r="M17" s="7" t="s">
        <v>60</v>
      </c>
    </row>
    <row r="18" customFormat="false" ht="30" hidden="false" customHeight="true" outlineLevel="0" collapsed="false">
      <c r="A18" s="6" t="s">
        <v>61</v>
      </c>
      <c r="B18" s="7" t="s">
        <v>62</v>
      </c>
      <c r="C18" s="6" t="s">
        <v>18</v>
      </c>
      <c r="D18" s="6" t="n">
        <v>83931</v>
      </c>
      <c r="E18" s="6" t="n">
        <v>3</v>
      </c>
      <c r="F18" s="8" t="s">
        <v>19</v>
      </c>
      <c r="G18" s="9" t="s">
        <v>26</v>
      </c>
      <c r="H18" s="7" t="s">
        <v>31</v>
      </c>
      <c r="I18" s="6" t="n">
        <v>8</v>
      </c>
      <c r="J18" s="6" t="n">
        <v>300</v>
      </c>
      <c r="K18" s="6" t="n">
        <v>35</v>
      </c>
      <c r="L18" s="12" t="s">
        <v>42</v>
      </c>
      <c r="M18" s="7" t="s">
        <v>63</v>
      </c>
    </row>
    <row r="19" customFormat="false" ht="30" hidden="false" customHeight="true" outlineLevel="0" collapsed="false">
      <c r="A19" s="6" t="s">
        <v>64</v>
      </c>
      <c r="B19" s="7" t="s">
        <v>65</v>
      </c>
      <c r="C19" s="6" t="s">
        <v>18</v>
      </c>
      <c r="D19" s="6" t="n">
        <v>85341</v>
      </c>
      <c r="E19" s="6" t="n">
        <v>3</v>
      </c>
      <c r="F19" s="8" t="s">
        <v>19</v>
      </c>
      <c r="G19" s="9" t="s">
        <v>38</v>
      </c>
      <c r="H19" s="7" t="s">
        <v>21</v>
      </c>
      <c r="I19" s="6" t="n">
        <v>118</v>
      </c>
      <c r="J19" s="6" t="n">
        <v>150</v>
      </c>
      <c r="K19" s="6" t="n">
        <v>0</v>
      </c>
      <c r="L19" s="10" t="s">
        <v>22</v>
      </c>
      <c r="M19" s="7" t="s">
        <v>66</v>
      </c>
    </row>
    <row r="20" customFormat="false" ht="30" hidden="false" customHeight="true" outlineLevel="0" collapsed="false">
      <c r="A20" s="6" t="s">
        <v>67</v>
      </c>
      <c r="B20" s="7" t="s">
        <v>68</v>
      </c>
      <c r="C20" s="6" t="s">
        <v>18</v>
      </c>
      <c r="D20" s="6" t="n">
        <v>83929</v>
      </c>
      <c r="E20" s="6" t="n">
        <v>3</v>
      </c>
      <c r="F20" s="8" t="s">
        <v>19</v>
      </c>
      <c r="G20" s="9" t="s">
        <v>69</v>
      </c>
      <c r="H20" s="7" t="s">
        <v>70</v>
      </c>
      <c r="I20" s="6" t="n">
        <v>1</v>
      </c>
      <c r="J20" s="6" t="n">
        <v>1000</v>
      </c>
      <c r="K20" s="6" t="n">
        <v>912</v>
      </c>
      <c r="L20" s="12" t="s">
        <v>42</v>
      </c>
      <c r="M20" s="7" t="s">
        <v>71</v>
      </c>
    </row>
    <row r="21" customFormat="false" ht="30" hidden="false" customHeight="true" outlineLevel="0" collapsed="false">
      <c r="A21" s="6" t="s">
        <v>72</v>
      </c>
      <c r="B21" s="7" t="s">
        <v>73</v>
      </c>
      <c r="C21" s="6" t="s">
        <v>18</v>
      </c>
      <c r="D21" s="6" t="n">
        <v>83932</v>
      </c>
      <c r="E21" s="6" t="n">
        <v>3</v>
      </c>
      <c r="F21" s="8" t="s">
        <v>19</v>
      </c>
      <c r="G21" s="9" t="s">
        <v>74</v>
      </c>
      <c r="H21" s="7" t="s">
        <v>21</v>
      </c>
      <c r="I21" s="6" t="n">
        <v>402</v>
      </c>
      <c r="J21" s="6" t="n">
        <v>600</v>
      </c>
      <c r="K21" s="6" t="n">
        <v>0</v>
      </c>
      <c r="L21" s="10" t="s">
        <v>22</v>
      </c>
      <c r="M21" s="7" t="s">
        <v>75</v>
      </c>
    </row>
    <row r="22" customFormat="false" ht="30" hidden="false" customHeight="true" outlineLevel="0" collapsed="false">
      <c r="A22" s="6" t="s">
        <v>76</v>
      </c>
      <c r="B22" s="7" t="s">
        <v>77</v>
      </c>
      <c r="C22" s="6" t="s">
        <v>18</v>
      </c>
      <c r="D22" s="6" t="n">
        <v>84600</v>
      </c>
      <c r="E22" s="6" t="n">
        <v>3</v>
      </c>
      <c r="F22" s="8" t="s">
        <v>19</v>
      </c>
      <c r="G22" s="9" t="s">
        <v>26</v>
      </c>
      <c r="H22" s="7" t="s">
        <v>21</v>
      </c>
      <c r="I22" s="6" t="n">
        <v>239</v>
      </c>
      <c r="J22" s="6" t="n">
        <v>400</v>
      </c>
      <c r="K22" s="6" t="n">
        <v>0</v>
      </c>
      <c r="L22" s="10" t="s">
        <v>22</v>
      </c>
      <c r="M22" s="7" t="s">
        <v>78</v>
      </c>
    </row>
    <row r="23" customFormat="false" ht="30" hidden="false" customHeight="true" outlineLevel="0" collapsed="false">
      <c r="A23" s="6" t="s">
        <v>79</v>
      </c>
      <c r="B23" s="7" t="s">
        <v>80</v>
      </c>
      <c r="C23" s="6" t="s">
        <v>18</v>
      </c>
      <c r="D23" s="6" t="n">
        <v>84601</v>
      </c>
      <c r="E23" s="6" t="n">
        <v>3</v>
      </c>
      <c r="F23" s="8" t="s">
        <v>19</v>
      </c>
      <c r="G23" s="9" t="s">
        <v>69</v>
      </c>
      <c r="H23" s="7" t="s">
        <v>31</v>
      </c>
      <c r="I23" s="6" t="n">
        <v>528</v>
      </c>
      <c r="J23" s="6" t="n">
        <v>700</v>
      </c>
      <c r="K23" s="6" t="n">
        <v>0</v>
      </c>
      <c r="L23" s="10" t="s">
        <v>22</v>
      </c>
      <c r="M23" s="7" t="s">
        <v>81</v>
      </c>
    </row>
    <row r="24" customFormat="false" ht="30" hidden="false" customHeight="true" outlineLevel="0" collapsed="false">
      <c r="A24" s="6" t="s">
        <v>82</v>
      </c>
      <c r="B24" s="7" t="s">
        <v>83</v>
      </c>
      <c r="C24" s="6" t="s">
        <v>18</v>
      </c>
      <c r="D24" s="6" t="n">
        <v>93018</v>
      </c>
      <c r="E24" s="6" t="n">
        <v>3</v>
      </c>
      <c r="F24" s="8" t="s">
        <v>19</v>
      </c>
      <c r="G24" s="9" t="s">
        <v>26</v>
      </c>
      <c r="H24" s="7" t="s">
        <v>21</v>
      </c>
      <c r="I24" s="6" t="n">
        <v>9</v>
      </c>
      <c r="J24" s="6" t="n">
        <v>150</v>
      </c>
      <c r="K24" s="6" t="n">
        <v>31</v>
      </c>
      <c r="L24" s="12" t="s">
        <v>42</v>
      </c>
      <c r="M24" s="7" t="s">
        <v>84</v>
      </c>
    </row>
    <row r="25" customFormat="false" ht="30" hidden="false" customHeight="true" outlineLevel="0" collapsed="false">
      <c r="A25" s="6" t="s">
        <v>85</v>
      </c>
      <c r="B25" s="7" t="s">
        <v>86</v>
      </c>
      <c r="C25" s="6" t="s">
        <v>18</v>
      </c>
      <c r="D25" s="6" t="n">
        <v>91324</v>
      </c>
      <c r="E25" s="6" t="n">
        <v>3</v>
      </c>
      <c r="F25" s="8" t="s">
        <v>19</v>
      </c>
      <c r="G25" s="9" t="s">
        <v>20</v>
      </c>
      <c r="H25" s="7" t="s">
        <v>87</v>
      </c>
      <c r="I25" s="6" t="n">
        <v>9</v>
      </c>
      <c r="J25" s="6" t="n">
        <v>150</v>
      </c>
      <c r="K25" s="6" t="n">
        <v>68</v>
      </c>
      <c r="L25" s="12" t="s">
        <v>42</v>
      </c>
      <c r="M25" s="7" t="s">
        <v>88</v>
      </c>
    </row>
    <row r="26" customFormat="false" ht="30" hidden="false" customHeight="true" outlineLevel="0" collapsed="false">
      <c r="A26" s="6" t="s">
        <v>89</v>
      </c>
      <c r="B26" s="7" t="s">
        <v>90</v>
      </c>
      <c r="C26" s="6" t="s">
        <v>18</v>
      </c>
      <c r="D26" s="6" t="n">
        <v>83933</v>
      </c>
      <c r="E26" s="6" t="n">
        <v>3</v>
      </c>
      <c r="F26" s="8" t="s">
        <v>19</v>
      </c>
      <c r="G26" s="9" t="s">
        <v>38</v>
      </c>
      <c r="H26" s="7" t="s">
        <v>91</v>
      </c>
      <c r="I26" s="6" t="n">
        <v>20</v>
      </c>
      <c r="J26" s="6" t="n">
        <v>450</v>
      </c>
      <c r="K26" s="6" t="n">
        <v>143</v>
      </c>
      <c r="L26" s="12" t="s">
        <v>42</v>
      </c>
      <c r="M26" s="7" t="s">
        <v>92</v>
      </c>
    </row>
    <row r="27" customFormat="false" ht="30" hidden="false" customHeight="true" outlineLevel="0" collapsed="false">
      <c r="A27" s="6" t="s">
        <v>93</v>
      </c>
      <c r="B27" s="7" t="s">
        <v>94</v>
      </c>
      <c r="C27" s="6" t="s">
        <v>18</v>
      </c>
      <c r="D27" s="6" t="n">
        <v>87367</v>
      </c>
      <c r="E27" s="6" t="n">
        <v>3</v>
      </c>
      <c r="F27" s="8" t="s">
        <v>19</v>
      </c>
      <c r="G27" s="9" t="s">
        <v>38</v>
      </c>
      <c r="H27" s="7" t="s">
        <v>95</v>
      </c>
      <c r="I27" s="6" t="n">
        <v>306</v>
      </c>
      <c r="J27" s="6" t="n">
        <v>500</v>
      </c>
      <c r="K27" s="6" t="n">
        <v>0</v>
      </c>
      <c r="L27" s="10" t="s">
        <v>22</v>
      </c>
      <c r="M27" s="7" t="s">
        <v>96</v>
      </c>
    </row>
    <row r="28" customFormat="false" ht="30" hidden="false" customHeight="true" outlineLevel="0" collapsed="false">
      <c r="A28" s="6" t="s">
        <v>97</v>
      </c>
      <c r="B28" s="7" t="s">
        <v>98</v>
      </c>
      <c r="C28" s="6" t="s">
        <v>18</v>
      </c>
      <c r="D28" s="6" t="n">
        <v>84342</v>
      </c>
      <c r="E28" s="6" t="n">
        <v>3</v>
      </c>
      <c r="F28" s="8" t="s">
        <v>19</v>
      </c>
      <c r="G28" s="9" t="s">
        <v>20</v>
      </c>
      <c r="H28" s="7" t="s">
        <v>99</v>
      </c>
      <c r="I28" s="6" t="n">
        <v>3</v>
      </c>
      <c r="J28" s="6" t="n">
        <v>200</v>
      </c>
      <c r="K28" s="6" t="n">
        <v>0</v>
      </c>
      <c r="L28" s="13" t="s">
        <v>100</v>
      </c>
      <c r="M28" s="7" t="s">
        <v>101</v>
      </c>
    </row>
    <row r="29" customFormat="false" ht="30" hidden="false" customHeight="true" outlineLevel="0" collapsed="false">
      <c r="A29" s="6" t="s">
        <v>102</v>
      </c>
      <c r="B29" s="7" t="s">
        <v>103</v>
      </c>
      <c r="C29" s="6" t="s">
        <v>18</v>
      </c>
      <c r="D29" s="6" t="n">
        <v>84243</v>
      </c>
      <c r="E29" s="6" t="n">
        <v>3</v>
      </c>
      <c r="F29" s="8" t="s">
        <v>19</v>
      </c>
      <c r="G29" s="9" t="s">
        <v>38</v>
      </c>
      <c r="H29" s="7" t="s">
        <v>104</v>
      </c>
      <c r="I29" s="6" t="n">
        <v>149</v>
      </c>
      <c r="J29" s="6" t="n">
        <v>200</v>
      </c>
      <c r="K29" s="6" t="n">
        <v>0</v>
      </c>
      <c r="L29" s="10" t="s">
        <v>22</v>
      </c>
      <c r="M29" s="7" t="s">
        <v>105</v>
      </c>
    </row>
    <row r="30" customFormat="false" ht="30" hidden="false" customHeight="true" outlineLevel="0" collapsed="false">
      <c r="A30" s="6" t="s">
        <v>106</v>
      </c>
      <c r="B30" s="7" t="s">
        <v>107</v>
      </c>
      <c r="C30" s="6" t="s">
        <v>18</v>
      </c>
      <c r="D30" s="6" t="n">
        <v>84338</v>
      </c>
      <c r="E30" s="6" t="n">
        <v>3</v>
      </c>
      <c r="F30" s="8" t="s">
        <v>19</v>
      </c>
      <c r="G30" s="9" t="s">
        <v>26</v>
      </c>
      <c r="H30" s="7" t="s">
        <v>108</v>
      </c>
      <c r="I30" s="6" t="n">
        <v>185</v>
      </c>
      <c r="J30" s="6" t="n">
        <v>450</v>
      </c>
      <c r="K30" s="6" t="n">
        <v>0</v>
      </c>
      <c r="L30" s="10" t="s">
        <v>22</v>
      </c>
      <c r="M30" s="7" t="s">
        <v>109</v>
      </c>
    </row>
    <row r="31" customFormat="false" ht="30" hidden="false" customHeight="true" outlineLevel="0" collapsed="false">
      <c r="A31" s="6" t="s">
        <v>110</v>
      </c>
      <c r="B31" s="7" t="s">
        <v>111</v>
      </c>
      <c r="C31" s="6" t="s">
        <v>18</v>
      </c>
      <c r="D31" s="6" t="n">
        <v>93014</v>
      </c>
      <c r="E31" s="6" t="n">
        <v>3</v>
      </c>
      <c r="F31" s="8" t="s">
        <v>19</v>
      </c>
      <c r="G31" s="9" t="s">
        <v>26</v>
      </c>
      <c r="H31" s="7" t="s">
        <v>112</v>
      </c>
      <c r="I31" s="6" t="n">
        <v>2</v>
      </c>
      <c r="J31" s="6" t="n">
        <v>250</v>
      </c>
      <c r="K31" s="6" t="n">
        <v>7</v>
      </c>
      <c r="L31" s="12" t="s">
        <v>42</v>
      </c>
      <c r="M31" s="7" t="s">
        <v>96</v>
      </c>
    </row>
    <row r="32" customFormat="false" ht="30" hidden="false" customHeight="true" outlineLevel="0" collapsed="false">
      <c r="A32" s="6" t="s">
        <v>113</v>
      </c>
      <c r="B32" s="7" t="s">
        <v>114</v>
      </c>
      <c r="C32" s="6" t="s">
        <v>18</v>
      </c>
      <c r="D32" s="6" t="n">
        <v>86005</v>
      </c>
      <c r="E32" s="6" t="n">
        <v>3</v>
      </c>
      <c r="F32" s="8" t="s">
        <v>19</v>
      </c>
      <c r="G32" s="14" t="s">
        <v>115</v>
      </c>
      <c r="H32" s="7" t="s">
        <v>116</v>
      </c>
      <c r="I32" s="6" t="n">
        <v>11</v>
      </c>
      <c r="J32" s="6" t="n">
        <v>200</v>
      </c>
      <c r="K32" s="6" t="n">
        <v>521</v>
      </c>
      <c r="L32" s="12" t="s">
        <v>42</v>
      </c>
      <c r="M32" s="7" t="s">
        <v>117</v>
      </c>
    </row>
    <row r="33" customFormat="false" ht="30" hidden="false" customHeight="true" outlineLevel="0" collapsed="false">
      <c r="A33" s="6" t="s">
        <v>118</v>
      </c>
      <c r="B33" s="7" t="s">
        <v>119</v>
      </c>
      <c r="C33" s="6" t="s">
        <v>18</v>
      </c>
      <c r="D33" s="6" t="n">
        <v>84602</v>
      </c>
      <c r="E33" s="6" t="n">
        <v>3</v>
      </c>
      <c r="F33" s="8" t="s">
        <v>19</v>
      </c>
      <c r="G33" s="9" t="s">
        <v>26</v>
      </c>
      <c r="H33" s="7" t="s">
        <v>120</v>
      </c>
      <c r="I33" s="6" t="n">
        <v>467</v>
      </c>
      <c r="J33" s="6" t="n">
        <v>1450</v>
      </c>
      <c r="K33" s="6" t="n">
        <v>0</v>
      </c>
      <c r="L33" s="10" t="s">
        <v>22</v>
      </c>
      <c r="M33" s="7" t="s">
        <v>121</v>
      </c>
    </row>
    <row r="34" customFormat="false" ht="30" hidden="false" customHeight="true" outlineLevel="0" collapsed="false">
      <c r="A34" s="6" t="s">
        <v>122</v>
      </c>
      <c r="B34" s="7" t="s">
        <v>123</v>
      </c>
      <c r="C34" s="6" t="s">
        <v>18</v>
      </c>
      <c r="D34" s="6" t="n">
        <v>87912</v>
      </c>
      <c r="E34" s="6" t="n">
        <v>3</v>
      </c>
      <c r="F34" s="8" t="s">
        <v>19</v>
      </c>
      <c r="G34" s="9" t="s">
        <v>124</v>
      </c>
      <c r="H34" s="7" t="s">
        <v>125</v>
      </c>
      <c r="I34" s="6" t="n">
        <v>38</v>
      </c>
      <c r="J34" s="6" t="n">
        <v>800</v>
      </c>
      <c r="K34" s="6" t="n">
        <v>626</v>
      </c>
      <c r="L34" s="12" t="s">
        <v>42</v>
      </c>
      <c r="M34" s="7" t="s">
        <v>126</v>
      </c>
    </row>
    <row r="35" customFormat="false" ht="30" hidden="false" customHeight="true" outlineLevel="0" collapsed="false">
      <c r="A35" s="6" t="s">
        <v>127</v>
      </c>
      <c r="B35" s="7" t="s">
        <v>128</v>
      </c>
      <c r="C35" s="6" t="s">
        <v>18</v>
      </c>
      <c r="D35" s="6" t="n">
        <v>88594</v>
      </c>
      <c r="E35" s="6" t="n">
        <v>3</v>
      </c>
      <c r="F35" s="8" t="s">
        <v>19</v>
      </c>
      <c r="G35" s="9" t="s">
        <v>38</v>
      </c>
      <c r="H35" s="7" t="s">
        <v>21</v>
      </c>
      <c r="I35" s="6" t="n">
        <v>132</v>
      </c>
      <c r="J35" s="6" t="n">
        <v>150</v>
      </c>
      <c r="K35" s="6" t="n">
        <v>0</v>
      </c>
      <c r="L35" s="10" t="s">
        <v>22</v>
      </c>
      <c r="M35" s="7" t="s">
        <v>129</v>
      </c>
    </row>
    <row r="36" customFormat="false" ht="30" hidden="false" customHeight="true" outlineLevel="0" collapsed="false">
      <c r="A36" s="6" t="s">
        <v>130</v>
      </c>
      <c r="B36" s="7" t="s">
        <v>131</v>
      </c>
      <c r="C36" s="6" t="s">
        <v>18</v>
      </c>
      <c r="D36" s="6" t="n">
        <v>87911</v>
      </c>
      <c r="E36" s="6" t="n">
        <v>3</v>
      </c>
      <c r="F36" s="9" t="s">
        <v>49</v>
      </c>
      <c r="G36" s="6"/>
      <c r="H36" s="7" t="s">
        <v>21</v>
      </c>
      <c r="I36" s="6" t="n">
        <v>2</v>
      </c>
      <c r="J36" s="6" t="n">
        <v>50</v>
      </c>
      <c r="K36" s="6" t="n">
        <v>8</v>
      </c>
      <c r="L36" s="12" t="s">
        <v>42</v>
      </c>
      <c r="M36" s="7" t="s">
        <v>132</v>
      </c>
    </row>
    <row r="37" customFormat="false" ht="30" hidden="false" customHeight="true" outlineLevel="0" collapsed="false">
      <c r="A37" s="6" t="s">
        <v>133</v>
      </c>
      <c r="B37" s="7" t="s">
        <v>134</v>
      </c>
      <c r="C37" s="6" t="s">
        <v>18</v>
      </c>
      <c r="D37" s="6" t="n">
        <v>84732</v>
      </c>
      <c r="E37" s="6" t="n">
        <v>3</v>
      </c>
      <c r="F37" s="8" t="s">
        <v>19</v>
      </c>
      <c r="G37" s="9" t="s">
        <v>135</v>
      </c>
      <c r="H37" s="7" t="s">
        <v>136</v>
      </c>
      <c r="I37" s="6" t="n">
        <v>695</v>
      </c>
      <c r="J37" s="6" t="n">
        <v>1150</v>
      </c>
      <c r="K37" s="6" t="n">
        <v>0</v>
      </c>
      <c r="L37" s="10" t="s">
        <v>22</v>
      </c>
      <c r="M37" s="7" t="s">
        <v>101</v>
      </c>
    </row>
    <row r="38" customFormat="false" ht="30" hidden="false" customHeight="true" outlineLevel="0" collapsed="false">
      <c r="A38" s="6" t="s">
        <v>137</v>
      </c>
      <c r="B38" s="7" t="s">
        <v>138</v>
      </c>
      <c r="C38" s="6" t="s">
        <v>18</v>
      </c>
      <c r="D38" s="6" t="n">
        <v>88593</v>
      </c>
      <c r="E38" s="6" t="n">
        <v>3</v>
      </c>
      <c r="F38" s="8" t="s">
        <v>19</v>
      </c>
      <c r="G38" s="9" t="s">
        <v>124</v>
      </c>
      <c r="H38" s="7" t="s">
        <v>99</v>
      </c>
      <c r="I38" s="6" t="n">
        <v>8</v>
      </c>
      <c r="J38" s="6" t="n">
        <v>750</v>
      </c>
      <c r="K38" s="6" t="n">
        <v>124</v>
      </c>
      <c r="L38" s="12" t="s">
        <v>42</v>
      </c>
      <c r="M38" s="7" t="s">
        <v>139</v>
      </c>
    </row>
    <row r="39" customFormat="false" ht="30" hidden="false" customHeight="true" outlineLevel="0" collapsed="false">
      <c r="A39" s="6" t="s">
        <v>140</v>
      </c>
      <c r="B39" s="7" t="s">
        <v>141</v>
      </c>
      <c r="C39" s="6" t="s">
        <v>18</v>
      </c>
      <c r="D39" s="6" t="n">
        <v>87913</v>
      </c>
      <c r="E39" s="6" t="n">
        <v>3</v>
      </c>
      <c r="F39" s="8" t="s">
        <v>19</v>
      </c>
      <c r="G39" s="9" t="s">
        <v>30</v>
      </c>
      <c r="H39" s="7" t="s">
        <v>21</v>
      </c>
      <c r="I39" s="6" t="n">
        <v>10</v>
      </c>
      <c r="J39" s="6" t="n">
        <v>150</v>
      </c>
      <c r="K39" s="6" t="n">
        <v>22</v>
      </c>
      <c r="L39" s="12" t="s">
        <v>42</v>
      </c>
      <c r="M39" s="7" t="s">
        <v>27</v>
      </c>
    </row>
    <row r="40" customFormat="false" ht="30" hidden="false" customHeight="true" outlineLevel="0" collapsed="false">
      <c r="A40" s="6" t="s">
        <v>142</v>
      </c>
      <c r="B40" s="7" t="s">
        <v>143</v>
      </c>
      <c r="C40" s="6" t="s">
        <v>18</v>
      </c>
      <c r="D40" s="6" t="n">
        <v>87914</v>
      </c>
      <c r="E40" s="6" t="n">
        <v>3</v>
      </c>
      <c r="F40" s="8" t="s">
        <v>19</v>
      </c>
      <c r="G40" s="9" t="s">
        <v>38</v>
      </c>
      <c r="H40" s="7" t="s">
        <v>144</v>
      </c>
      <c r="I40" s="6" t="n">
        <v>2</v>
      </c>
      <c r="J40" s="6" t="n">
        <v>200</v>
      </c>
      <c r="K40" s="6" t="n">
        <v>10</v>
      </c>
      <c r="L40" s="12" t="s">
        <v>42</v>
      </c>
      <c r="M40" s="7" t="s">
        <v>145</v>
      </c>
    </row>
    <row r="41" customFormat="false" ht="30" hidden="false" customHeight="true" outlineLevel="0" collapsed="false">
      <c r="A41" s="6" t="s">
        <v>146</v>
      </c>
      <c r="B41" s="7" t="s">
        <v>147</v>
      </c>
      <c r="C41" s="6" t="s">
        <v>18</v>
      </c>
      <c r="D41" s="6" t="n">
        <v>94504</v>
      </c>
      <c r="E41" s="6" t="n">
        <v>3</v>
      </c>
      <c r="F41" s="8" t="s">
        <v>19</v>
      </c>
      <c r="G41" s="9" t="s">
        <v>26</v>
      </c>
      <c r="H41" s="7" t="s">
        <v>21</v>
      </c>
      <c r="I41" s="6" t="n">
        <v>11</v>
      </c>
      <c r="J41" s="6" t="n">
        <v>300</v>
      </c>
      <c r="K41" s="6" t="n">
        <v>81</v>
      </c>
      <c r="L41" s="12" t="s">
        <v>42</v>
      </c>
      <c r="M41" s="7" t="s">
        <v>148</v>
      </c>
    </row>
    <row r="42" customFormat="false" ht="30" hidden="false" customHeight="true" outlineLevel="0" collapsed="false">
      <c r="A42" s="6" t="s">
        <v>149</v>
      </c>
      <c r="B42" s="7" t="s">
        <v>150</v>
      </c>
      <c r="C42" s="6" t="s">
        <v>18</v>
      </c>
      <c r="D42" s="6" t="n">
        <v>91329</v>
      </c>
      <c r="E42" s="6" t="n">
        <v>3</v>
      </c>
      <c r="F42" s="8" t="s">
        <v>19</v>
      </c>
      <c r="G42" s="9" t="s">
        <v>151</v>
      </c>
      <c r="H42" s="7" t="s">
        <v>21</v>
      </c>
      <c r="I42" s="6" t="n">
        <v>88</v>
      </c>
      <c r="J42" s="6" t="n">
        <v>200</v>
      </c>
      <c r="K42" s="6" t="n">
        <v>0</v>
      </c>
      <c r="L42" s="10" t="s">
        <v>22</v>
      </c>
      <c r="M42" s="7" t="s">
        <v>152</v>
      </c>
    </row>
    <row r="43" customFormat="false" ht="30" hidden="false" customHeight="true" outlineLevel="0" collapsed="false">
      <c r="A43" s="6" t="s">
        <v>153</v>
      </c>
      <c r="B43" s="7" t="s">
        <v>154</v>
      </c>
      <c r="C43" s="6" t="s">
        <v>18</v>
      </c>
      <c r="D43" s="6" t="n">
        <v>88595</v>
      </c>
      <c r="E43" s="6" t="n">
        <v>3</v>
      </c>
      <c r="F43" s="8" t="s">
        <v>19</v>
      </c>
      <c r="G43" s="9" t="s">
        <v>38</v>
      </c>
      <c r="H43" s="7" t="s">
        <v>155</v>
      </c>
      <c r="I43" s="6" t="n">
        <v>15</v>
      </c>
      <c r="J43" s="6" t="n">
        <v>300</v>
      </c>
      <c r="K43" s="6" t="n">
        <v>0</v>
      </c>
      <c r="L43" s="11" t="s">
        <v>35</v>
      </c>
      <c r="M43" s="7" t="s">
        <v>156</v>
      </c>
    </row>
    <row r="44" customFormat="false" ht="30" hidden="false" customHeight="true" outlineLevel="0" collapsed="false">
      <c r="A44" s="6" t="s">
        <v>157</v>
      </c>
      <c r="B44" s="7" t="s">
        <v>158</v>
      </c>
      <c r="C44" s="6" t="s">
        <v>18</v>
      </c>
      <c r="D44" s="6" t="n">
        <v>93015</v>
      </c>
      <c r="E44" s="6" t="n">
        <v>3</v>
      </c>
      <c r="F44" s="8" t="s">
        <v>19</v>
      </c>
      <c r="G44" s="9" t="s">
        <v>26</v>
      </c>
      <c r="H44" s="7" t="s">
        <v>112</v>
      </c>
      <c r="I44" s="6" t="n">
        <v>62</v>
      </c>
      <c r="J44" s="6" t="n">
        <v>150</v>
      </c>
      <c r="K44" s="6" t="n">
        <v>0</v>
      </c>
      <c r="L44" s="10" t="s">
        <v>22</v>
      </c>
      <c r="M44" s="7" t="s">
        <v>159</v>
      </c>
    </row>
    <row r="45" customFormat="false" ht="30" hidden="false" customHeight="true" outlineLevel="0" collapsed="false">
      <c r="A45" s="6" t="s">
        <v>160</v>
      </c>
      <c r="B45" s="7" t="s">
        <v>161</v>
      </c>
      <c r="C45" s="6" t="s">
        <v>18</v>
      </c>
      <c r="D45" s="6" t="n">
        <v>87915</v>
      </c>
      <c r="E45" s="6" t="n">
        <v>3</v>
      </c>
      <c r="F45" s="8" t="s">
        <v>19</v>
      </c>
      <c r="G45" s="9" t="s">
        <v>38</v>
      </c>
      <c r="H45" s="7" t="s">
        <v>162</v>
      </c>
      <c r="I45" s="6" t="n">
        <v>22</v>
      </c>
      <c r="J45" s="6" t="n">
        <v>700</v>
      </c>
      <c r="K45" s="6" t="n">
        <v>167</v>
      </c>
      <c r="L45" s="12" t="s">
        <v>42</v>
      </c>
      <c r="M45" s="7" t="s">
        <v>96</v>
      </c>
    </row>
    <row r="46" customFormat="false" ht="30" hidden="false" customHeight="true" outlineLevel="0" collapsed="false">
      <c r="A46" s="6" t="s">
        <v>163</v>
      </c>
      <c r="B46" s="7" t="s">
        <v>164</v>
      </c>
      <c r="C46" s="6" t="s">
        <v>18</v>
      </c>
      <c r="D46" s="6" t="n">
        <v>83934</v>
      </c>
      <c r="E46" s="6" t="n">
        <v>3</v>
      </c>
      <c r="F46" s="8" t="s">
        <v>19</v>
      </c>
      <c r="G46" s="9" t="s">
        <v>38</v>
      </c>
      <c r="H46" s="7" t="s">
        <v>165</v>
      </c>
      <c r="I46" s="6" t="n">
        <v>345</v>
      </c>
      <c r="J46" s="6" t="n">
        <v>1250</v>
      </c>
      <c r="K46" s="6" t="n">
        <v>0</v>
      </c>
      <c r="L46" s="10" t="s">
        <v>22</v>
      </c>
      <c r="M46" s="7" t="s">
        <v>101</v>
      </c>
    </row>
    <row r="47" customFormat="false" ht="30" hidden="false" customHeight="true" outlineLevel="0" collapsed="false">
      <c r="A47" s="6" t="s">
        <v>166</v>
      </c>
      <c r="B47" s="7" t="s">
        <v>167</v>
      </c>
      <c r="C47" s="6" t="s">
        <v>18</v>
      </c>
      <c r="D47" s="6" t="n">
        <v>86044</v>
      </c>
      <c r="E47" s="6" t="n">
        <v>3</v>
      </c>
      <c r="F47" s="8" t="s">
        <v>19</v>
      </c>
      <c r="G47" s="9" t="s">
        <v>151</v>
      </c>
      <c r="H47" s="7" t="s">
        <v>168</v>
      </c>
      <c r="I47" s="6" t="n">
        <v>454</v>
      </c>
      <c r="J47" s="6" t="n">
        <v>900</v>
      </c>
      <c r="K47" s="6" t="n">
        <v>0</v>
      </c>
      <c r="L47" s="10" t="s">
        <v>22</v>
      </c>
      <c r="M47" s="7" t="s">
        <v>169</v>
      </c>
    </row>
    <row r="48" customFormat="false" ht="30" hidden="false" customHeight="true" outlineLevel="0" collapsed="false">
      <c r="A48" s="6" t="s">
        <v>170</v>
      </c>
      <c r="B48" s="7" t="s">
        <v>171</v>
      </c>
      <c r="C48" s="6" t="s">
        <v>18</v>
      </c>
      <c r="D48" s="6" t="n">
        <v>85990</v>
      </c>
      <c r="E48" s="6" t="n">
        <v>3</v>
      </c>
      <c r="F48" s="8" t="s">
        <v>19</v>
      </c>
      <c r="G48" s="9" t="s">
        <v>38</v>
      </c>
      <c r="H48" s="7" t="s">
        <v>172</v>
      </c>
      <c r="I48" s="6" t="n">
        <v>58</v>
      </c>
      <c r="J48" s="6" t="n">
        <v>100</v>
      </c>
      <c r="K48" s="6" t="n">
        <v>0</v>
      </c>
      <c r="L48" s="10" t="s">
        <v>22</v>
      </c>
      <c r="M48" s="7" t="s">
        <v>173</v>
      </c>
    </row>
    <row r="49" customFormat="false" ht="30" hidden="false" customHeight="true" outlineLevel="0" collapsed="false">
      <c r="A49" s="6" t="s">
        <v>174</v>
      </c>
      <c r="B49" s="7" t="s">
        <v>175</v>
      </c>
      <c r="C49" s="6" t="s">
        <v>18</v>
      </c>
      <c r="D49" s="6" t="n">
        <v>83930</v>
      </c>
      <c r="E49" s="6" t="n">
        <v>3</v>
      </c>
      <c r="F49" s="8" t="s">
        <v>19</v>
      </c>
      <c r="G49" s="9" t="s">
        <v>26</v>
      </c>
      <c r="H49" s="7" t="s">
        <v>176</v>
      </c>
      <c r="I49" s="6" t="n">
        <v>388</v>
      </c>
      <c r="J49" s="6" t="n">
        <v>1450</v>
      </c>
      <c r="K49" s="6" t="n">
        <v>0</v>
      </c>
      <c r="L49" s="10" t="s">
        <v>22</v>
      </c>
      <c r="M49" s="7" t="s">
        <v>177</v>
      </c>
    </row>
    <row r="50" customFormat="false" ht="30" hidden="false" customHeight="true" outlineLevel="0" collapsed="false">
      <c r="A50" s="6" t="s">
        <v>178</v>
      </c>
      <c r="B50" s="7" t="s">
        <v>179</v>
      </c>
      <c r="C50" s="6" t="s">
        <v>18</v>
      </c>
      <c r="D50" s="6" t="n">
        <v>87916</v>
      </c>
      <c r="E50" s="6" t="n">
        <v>3</v>
      </c>
      <c r="F50" s="8" t="s">
        <v>19</v>
      </c>
      <c r="G50" s="9" t="s">
        <v>26</v>
      </c>
      <c r="H50" s="7" t="s">
        <v>180</v>
      </c>
      <c r="I50" s="6" t="n">
        <v>259</v>
      </c>
      <c r="J50" s="6" t="n">
        <v>550</v>
      </c>
      <c r="K50" s="6" t="n">
        <v>0</v>
      </c>
      <c r="L50" s="10" t="s">
        <v>22</v>
      </c>
      <c r="M50" s="7" t="s">
        <v>181</v>
      </c>
    </row>
    <row r="51" customFormat="false" ht="30" hidden="false" customHeight="true" outlineLevel="0" collapsed="false">
      <c r="A51" s="6" t="s">
        <v>182</v>
      </c>
      <c r="B51" s="7" t="s">
        <v>183</v>
      </c>
      <c r="C51" s="6" t="s">
        <v>18</v>
      </c>
      <c r="D51" s="6" t="n">
        <v>87422</v>
      </c>
      <c r="E51" s="6" t="n">
        <v>3</v>
      </c>
      <c r="F51" s="8" t="s">
        <v>19</v>
      </c>
      <c r="G51" s="9" t="s">
        <v>26</v>
      </c>
      <c r="H51" s="7" t="s">
        <v>165</v>
      </c>
      <c r="I51" s="6" t="n">
        <v>38</v>
      </c>
      <c r="J51" s="6" t="n">
        <v>850</v>
      </c>
      <c r="K51" s="6" t="n">
        <v>0</v>
      </c>
      <c r="L51" s="11" t="s">
        <v>35</v>
      </c>
      <c r="M51" s="7" t="s">
        <v>184</v>
      </c>
    </row>
    <row r="52" customFormat="false" ht="30" hidden="false" customHeight="true" outlineLevel="0" collapsed="false">
      <c r="A52" s="6" t="s">
        <v>185</v>
      </c>
      <c r="B52" s="7" t="s">
        <v>186</v>
      </c>
      <c r="C52" s="6" t="s">
        <v>18</v>
      </c>
      <c r="D52" s="6" t="n">
        <v>84716</v>
      </c>
      <c r="E52" s="6" t="n">
        <v>3</v>
      </c>
      <c r="F52" s="8" t="s">
        <v>19</v>
      </c>
      <c r="G52" s="9" t="s">
        <v>151</v>
      </c>
      <c r="H52" s="7" t="s">
        <v>180</v>
      </c>
      <c r="I52" s="6" t="n">
        <v>1196</v>
      </c>
      <c r="J52" s="6" t="n">
        <v>1700</v>
      </c>
      <c r="K52" s="6" t="n">
        <v>0</v>
      </c>
      <c r="L52" s="10" t="s">
        <v>22</v>
      </c>
      <c r="M52" s="7" t="s">
        <v>101</v>
      </c>
    </row>
    <row r="53" customFormat="false" ht="30" hidden="false" customHeight="true" outlineLevel="0" collapsed="false">
      <c r="A53" s="6" t="s">
        <v>187</v>
      </c>
      <c r="B53" s="7" t="s">
        <v>188</v>
      </c>
      <c r="C53" s="6" t="s">
        <v>18</v>
      </c>
      <c r="D53" s="6" t="n">
        <v>89627</v>
      </c>
      <c r="E53" s="6" t="n">
        <v>3</v>
      </c>
      <c r="F53" s="8" t="s">
        <v>19</v>
      </c>
      <c r="G53" s="9" t="s">
        <v>26</v>
      </c>
      <c r="H53" s="7" t="s">
        <v>189</v>
      </c>
      <c r="I53" s="6" t="n">
        <v>62</v>
      </c>
      <c r="J53" s="6" t="n">
        <v>850</v>
      </c>
      <c r="K53" s="6" t="n">
        <v>703</v>
      </c>
      <c r="L53" s="12" t="s">
        <v>42</v>
      </c>
      <c r="M53" s="7" t="s">
        <v>190</v>
      </c>
    </row>
    <row r="54" customFormat="false" ht="30" hidden="false" customHeight="true" outlineLevel="0" collapsed="false">
      <c r="A54" s="6" t="s">
        <v>191</v>
      </c>
      <c r="B54" s="7" t="s">
        <v>192</v>
      </c>
      <c r="C54" s="6" t="s">
        <v>193</v>
      </c>
      <c r="D54" s="6" t="n">
        <v>85020</v>
      </c>
      <c r="E54" s="6" t="n">
        <v>3</v>
      </c>
      <c r="F54" s="8" t="s">
        <v>19</v>
      </c>
      <c r="G54" s="6"/>
      <c r="H54" s="7"/>
      <c r="I54" s="6" t="n">
        <v>49</v>
      </c>
      <c r="J54" s="6" t="n">
        <v>100</v>
      </c>
      <c r="K54" s="6" t="n">
        <v>0</v>
      </c>
      <c r="L54" s="11" t="s">
        <v>35</v>
      </c>
      <c r="M54" s="7" t="s">
        <v>66</v>
      </c>
    </row>
    <row r="55" customFormat="false" ht="30" hidden="false" customHeight="true" outlineLevel="0" collapsed="false">
      <c r="A55" s="6" t="s">
        <v>194</v>
      </c>
      <c r="B55" s="7" t="s">
        <v>195</v>
      </c>
      <c r="C55" s="6" t="s">
        <v>196</v>
      </c>
      <c r="D55" s="6" t="n">
        <v>88875</v>
      </c>
      <c r="E55" s="6" t="n">
        <v>3</v>
      </c>
      <c r="F55" s="9" t="s">
        <v>49</v>
      </c>
      <c r="G55" s="6"/>
      <c r="H55" s="7"/>
      <c r="I55" s="6" t="n">
        <v>8</v>
      </c>
      <c r="J55" s="6" t="n">
        <v>150</v>
      </c>
      <c r="K55" s="6" t="n">
        <v>272</v>
      </c>
      <c r="L55" s="12" t="s">
        <v>42</v>
      </c>
      <c r="M55" s="7" t="s">
        <v>197</v>
      </c>
    </row>
    <row r="56" customFormat="false" ht="30" hidden="false" customHeight="true" outlineLevel="0" collapsed="false">
      <c r="A56" s="6" t="s">
        <v>198</v>
      </c>
      <c r="B56" s="7" t="s">
        <v>199</v>
      </c>
      <c r="C56" s="6" t="s">
        <v>200</v>
      </c>
      <c r="D56" s="6" t="n">
        <v>88876</v>
      </c>
      <c r="E56" s="6" t="n">
        <v>3</v>
      </c>
      <c r="F56" s="9" t="s">
        <v>49</v>
      </c>
      <c r="G56" s="6"/>
      <c r="H56" s="7"/>
      <c r="I56" s="6" t="n">
        <v>11</v>
      </c>
      <c r="J56" s="6" t="n">
        <v>150</v>
      </c>
      <c r="K56" s="6" t="n">
        <v>36</v>
      </c>
      <c r="L56" s="12" t="s">
        <v>42</v>
      </c>
      <c r="M56" s="7" t="s">
        <v>139</v>
      </c>
    </row>
    <row r="57" customFormat="false" ht="30" hidden="false" customHeight="true" outlineLevel="0" collapsed="false">
      <c r="A57" s="6" t="s">
        <v>201</v>
      </c>
      <c r="B57" s="7" t="s">
        <v>202</v>
      </c>
      <c r="C57" s="6" t="s">
        <v>203</v>
      </c>
      <c r="D57" s="6" t="n">
        <v>93017</v>
      </c>
      <c r="E57" s="6" t="n">
        <v>3</v>
      </c>
      <c r="F57" s="9" t="s">
        <v>49</v>
      </c>
      <c r="G57" s="6"/>
      <c r="H57" s="7"/>
      <c r="I57" s="6" t="n">
        <v>22</v>
      </c>
      <c r="J57" s="6" t="n">
        <v>50</v>
      </c>
      <c r="K57" s="6" t="n">
        <v>0</v>
      </c>
      <c r="L57" s="11" t="s">
        <v>35</v>
      </c>
      <c r="M57" s="7" t="s">
        <v>204</v>
      </c>
    </row>
    <row r="58" customFormat="false" ht="30" hidden="false" customHeight="true" outlineLevel="0" collapsed="false">
      <c r="A58" s="6" t="s">
        <v>205</v>
      </c>
      <c r="B58" s="7" t="s">
        <v>206</v>
      </c>
      <c r="C58" s="6" t="s">
        <v>207</v>
      </c>
      <c r="D58" s="6" t="n">
        <v>91495</v>
      </c>
      <c r="E58" s="6" t="n">
        <v>3</v>
      </c>
      <c r="F58" s="9" t="s">
        <v>49</v>
      </c>
      <c r="G58" s="6"/>
      <c r="H58" s="7"/>
      <c r="I58" s="6" t="n">
        <v>37</v>
      </c>
      <c r="J58" s="6" t="n">
        <v>50</v>
      </c>
      <c r="K58" s="6" t="n">
        <v>0</v>
      </c>
      <c r="L58" s="11" t="s">
        <v>35</v>
      </c>
      <c r="M58" s="7" t="s">
        <v>43</v>
      </c>
    </row>
    <row r="59" customFormat="false" ht="30" hidden="false" customHeight="true" outlineLevel="0" collapsed="false">
      <c r="A59" s="6" t="s">
        <v>208</v>
      </c>
      <c r="B59" s="7" t="s">
        <v>209</v>
      </c>
      <c r="C59" s="6" t="s">
        <v>210</v>
      </c>
      <c r="D59" s="6" t="n">
        <v>91496</v>
      </c>
      <c r="E59" s="6" t="n">
        <v>3</v>
      </c>
      <c r="F59" s="9" t="s">
        <v>49</v>
      </c>
      <c r="G59" s="6"/>
      <c r="H59" s="7"/>
      <c r="I59" s="6" t="n">
        <v>3</v>
      </c>
      <c r="J59" s="6" t="n">
        <v>100</v>
      </c>
      <c r="K59" s="6" t="n">
        <v>13</v>
      </c>
      <c r="L59" s="12" t="s">
        <v>42</v>
      </c>
      <c r="M59" s="7" t="s">
        <v>211</v>
      </c>
    </row>
    <row r="60" customFormat="false" ht="30" hidden="false" customHeight="true" outlineLevel="0" collapsed="false">
      <c r="A60" s="6" t="s">
        <v>212</v>
      </c>
      <c r="B60" s="7" t="s">
        <v>213</v>
      </c>
      <c r="C60" s="6" t="s">
        <v>214</v>
      </c>
      <c r="D60" s="6" t="n">
        <v>95428</v>
      </c>
      <c r="E60" s="6" t="n">
        <v>3</v>
      </c>
      <c r="F60" s="9" t="s">
        <v>49</v>
      </c>
      <c r="G60" s="6"/>
      <c r="H60" s="7"/>
      <c r="I60" s="6" t="n">
        <v>9</v>
      </c>
      <c r="J60" s="6" t="n">
        <v>50</v>
      </c>
      <c r="K60" s="6" t="n">
        <v>0</v>
      </c>
      <c r="L60" s="13" t="s">
        <v>100</v>
      </c>
      <c r="M60" s="7"/>
    </row>
    <row r="61" customFormat="false" ht="30" hidden="false" customHeight="true" outlineLevel="0" collapsed="false">
      <c r="A61" s="6" t="s">
        <v>215</v>
      </c>
      <c r="B61" s="7" t="s">
        <v>216</v>
      </c>
      <c r="C61" s="6" t="s">
        <v>217</v>
      </c>
      <c r="D61" s="6" t="n">
        <v>95194</v>
      </c>
      <c r="E61" s="6" t="n">
        <v>3</v>
      </c>
      <c r="F61" s="9" t="s">
        <v>49</v>
      </c>
      <c r="G61" s="6"/>
      <c r="H61" s="7"/>
      <c r="I61" s="6" t="n">
        <v>14</v>
      </c>
      <c r="J61" s="6" t="n">
        <v>150</v>
      </c>
      <c r="K61" s="6" t="n">
        <v>0</v>
      </c>
      <c r="L61" s="11" t="s">
        <v>35</v>
      </c>
      <c r="M61" s="7" t="s">
        <v>218</v>
      </c>
    </row>
    <row r="62" customFormat="false" ht="30" hidden="false" customHeight="true" outlineLevel="0" collapsed="false">
      <c r="A62" s="6" t="s">
        <v>219</v>
      </c>
      <c r="B62" s="7" t="s">
        <v>220</v>
      </c>
      <c r="C62" s="6" t="s">
        <v>221</v>
      </c>
      <c r="D62" s="6" t="n">
        <v>95198</v>
      </c>
      <c r="E62" s="6" t="n">
        <v>3</v>
      </c>
      <c r="F62" s="9" t="s">
        <v>222</v>
      </c>
      <c r="G62" s="6"/>
      <c r="H62" s="7"/>
      <c r="I62" s="6" t="n">
        <v>71</v>
      </c>
      <c r="J62" s="6" t="n">
        <v>150</v>
      </c>
      <c r="K62" s="6" t="n">
        <v>0</v>
      </c>
      <c r="L62" s="10" t="s">
        <v>22</v>
      </c>
      <c r="M62" s="7" t="s">
        <v>156</v>
      </c>
    </row>
    <row r="63" customFormat="false" ht="30" hidden="false" customHeight="true" outlineLevel="0" collapsed="false">
      <c r="A63" s="6" t="s">
        <v>223</v>
      </c>
      <c r="B63" s="7" t="s">
        <v>224</v>
      </c>
      <c r="C63" s="6" t="s">
        <v>225</v>
      </c>
      <c r="D63" s="6" t="n">
        <v>95193</v>
      </c>
      <c r="E63" s="6" t="n">
        <v>3</v>
      </c>
      <c r="F63" s="9" t="s">
        <v>49</v>
      </c>
      <c r="G63" s="6"/>
      <c r="H63" s="7"/>
      <c r="I63" s="6" t="n">
        <v>12</v>
      </c>
      <c r="J63" s="6" t="n">
        <v>50</v>
      </c>
      <c r="K63" s="6" t="n">
        <v>0</v>
      </c>
      <c r="L63" s="11" t="s">
        <v>35</v>
      </c>
      <c r="M63" s="7" t="s">
        <v>55</v>
      </c>
    </row>
    <row r="64" customFormat="false" ht="30" hidden="false" customHeight="true" outlineLevel="0" collapsed="false">
      <c r="A64" s="6" t="s">
        <v>226</v>
      </c>
      <c r="B64" s="7" t="s">
        <v>227</v>
      </c>
      <c r="C64" s="6" t="s">
        <v>228</v>
      </c>
      <c r="D64" s="6" t="n">
        <v>93259</v>
      </c>
      <c r="E64" s="6" t="n">
        <v>3</v>
      </c>
      <c r="F64" s="9" t="s">
        <v>49</v>
      </c>
      <c r="G64" s="6"/>
      <c r="H64" s="7"/>
      <c r="I64" s="6" t="n">
        <v>16</v>
      </c>
      <c r="J64" s="6" t="n">
        <v>40</v>
      </c>
      <c r="K64" s="6"/>
      <c r="L64" s="11" t="s">
        <v>35</v>
      </c>
      <c r="M64" s="7" t="s">
        <v>229</v>
      </c>
    </row>
  </sheetData>
  <autoFilter ref="A5:M6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4" min="4" style="0" width="72"/>
    <col collapsed="false" customWidth="true" hidden="false" outlineLevel="0" max="5" min="5" style="0" width="17"/>
  </cols>
  <sheetData>
    <row r="1" customFormat="false" ht="20.1" hidden="false" customHeight="false" outlineLevel="0" collapsed="false">
      <c r="A1" s="1" t="s">
        <v>230</v>
      </c>
    </row>
    <row r="2" customFormat="false" ht="15" hidden="false" customHeight="false" outlineLevel="0" collapsed="false">
      <c r="A2" s="15" t="s">
        <v>231</v>
      </c>
    </row>
    <row r="4" customFormat="false" ht="30" hidden="false" customHeight="true" outlineLevel="0" collapsed="false">
      <c r="A4" s="5" t="s">
        <v>232</v>
      </c>
      <c r="B4" s="4" t="s">
        <v>233</v>
      </c>
      <c r="C4" s="4" t="s">
        <v>234</v>
      </c>
      <c r="D4" s="4" t="s">
        <v>235</v>
      </c>
      <c r="E4" s="5" t="s">
        <v>236</v>
      </c>
    </row>
    <row r="5" customFormat="false" ht="30" hidden="false" customHeight="true" outlineLevel="0" collapsed="false">
      <c r="A5" s="16" t="s">
        <v>119</v>
      </c>
      <c r="B5" s="17" t="s">
        <v>237</v>
      </c>
      <c r="C5" s="18" t="s">
        <v>238</v>
      </c>
      <c r="D5" s="18" t="s">
        <v>239</v>
      </c>
      <c r="E5" s="19" t="s">
        <v>240</v>
      </c>
    </row>
    <row r="6" customFormat="false" ht="30" hidden="false" customHeight="true" outlineLevel="0" collapsed="false">
      <c r="A6" s="7"/>
      <c r="B6" s="20" t="s">
        <v>241</v>
      </c>
      <c r="C6" s="7" t="s">
        <v>242</v>
      </c>
      <c r="D6" s="7" t="s">
        <v>243</v>
      </c>
      <c r="E6" s="7"/>
    </row>
    <row r="7" customFormat="false" ht="30" hidden="false" customHeight="true" outlineLevel="0" collapsed="false">
      <c r="A7" s="7"/>
      <c r="B7" s="20" t="s">
        <v>244</v>
      </c>
      <c r="C7" s="7" t="s">
        <v>242</v>
      </c>
      <c r="D7" s="7" t="s">
        <v>245</v>
      </c>
      <c r="E7" s="7"/>
    </row>
    <row r="8" customFormat="false" ht="30" hidden="false" customHeight="true" outlineLevel="0" collapsed="false">
      <c r="A8" s="16" t="s">
        <v>246</v>
      </c>
      <c r="B8" s="17" t="s">
        <v>241</v>
      </c>
      <c r="C8" s="17" t="s">
        <v>247</v>
      </c>
      <c r="D8" s="18" t="s">
        <v>248</v>
      </c>
      <c r="E8" s="21" t="s">
        <v>249</v>
      </c>
    </row>
    <row r="9" customFormat="false" ht="30" hidden="false" customHeight="true" outlineLevel="0" collapsed="false">
      <c r="A9" s="7"/>
      <c r="B9" s="20" t="s">
        <v>241</v>
      </c>
      <c r="C9" s="7" t="s">
        <v>250</v>
      </c>
      <c r="D9" s="7" t="s">
        <v>251</v>
      </c>
      <c r="E9" s="7"/>
    </row>
    <row r="10" customFormat="false" ht="30" hidden="false" customHeight="true" outlineLevel="0" collapsed="false">
      <c r="A10" s="7"/>
      <c r="B10" s="20" t="s">
        <v>244</v>
      </c>
      <c r="C10" s="7" t="s">
        <v>252</v>
      </c>
      <c r="D10" s="7" t="s">
        <v>253</v>
      </c>
      <c r="E10" s="7"/>
    </row>
    <row r="11" customFormat="false" ht="30" hidden="false" customHeight="true" outlineLevel="0" collapsed="false">
      <c r="A11" s="16" t="s">
        <v>175</v>
      </c>
      <c r="B11" s="17" t="s">
        <v>241</v>
      </c>
      <c r="C11" s="17" t="s">
        <v>247</v>
      </c>
      <c r="D11" s="18" t="s">
        <v>248</v>
      </c>
      <c r="E11" s="21" t="s">
        <v>249</v>
      </c>
    </row>
    <row r="12" customFormat="false" ht="30" hidden="false" customHeight="true" outlineLevel="0" collapsed="false">
      <c r="A12" s="7"/>
      <c r="B12" s="20" t="s">
        <v>241</v>
      </c>
      <c r="C12" s="7" t="s">
        <v>254</v>
      </c>
      <c r="D12" s="7" t="s">
        <v>255</v>
      </c>
      <c r="E12" s="7"/>
    </row>
    <row r="13" customFormat="false" ht="30" hidden="false" customHeight="true" outlineLevel="0" collapsed="false">
      <c r="A13" s="7"/>
      <c r="B13" s="20" t="s">
        <v>244</v>
      </c>
      <c r="C13" s="7" t="s">
        <v>252</v>
      </c>
      <c r="D13" s="7" t="s">
        <v>256</v>
      </c>
      <c r="E13" s="7"/>
    </row>
    <row r="14" customFormat="false" ht="30" hidden="false" customHeight="true" outlineLevel="0" collapsed="false">
      <c r="A14" s="16" t="s">
        <v>257</v>
      </c>
      <c r="B14" s="17" t="s">
        <v>241</v>
      </c>
      <c r="C14" s="17" t="s">
        <v>247</v>
      </c>
      <c r="D14" s="18" t="s">
        <v>248</v>
      </c>
      <c r="E14" s="21" t="s">
        <v>249</v>
      </c>
    </row>
    <row r="15" customFormat="false" ht="30" hidden="false" customHeight="true" outlineLevel="0" collapsed="false">
      <c r="A15" s="7"/>
      <c r="B15" s="20" t="s">
        <v>241</v>
      </c>
      <c r="C15" s="7" t="s">
        <v>254</v>
      </c>
      <c r="D15" s="7" t="s">
        <v>258</v>
      </c>
      <c r="E15" s="7"/>
    </row>
    <row r="16" customFormat="false" ht="30" hidden="false" customHeight="true" outlineLevel="0" collapsed="false">
      <c r="A16" s="7"/>
      <c r="B16" s="20" t="s">
        <v>244</v>
      </c>
      <c r="C16" s="7" t="s">
        <v>259</v>
      </c>
      <c r="D16" s="20" t="s">
        <v>260</v>
      </c>
      <c r="E16" s="7"/>
    </row>
    <row r="17" customFormat="false" ht="30" hidden="false" customHeight="true" outlineLevel="0" collapsed="false">
      <c r="A17" s="16" t="s">
        <v>111</v>
      </c>
      <c r="B17" s="17" t="s">
        <v>241</v>
      </c>
      <c r="C17" s="18" t="s">
        <v>261</v>
      </c>
      <c r="D17" s="18" t="s">
        <v>262</v>
      </c>
      <c r="E17" s="21" t="s">
        <v>249</v>
      </c>
    </row>
    <row r="18" customFormat="false" ht="30" hidden="false" customHeight="true" outlineLevel="0" collapsed="false">
      <c r="A18" s="7"/>
      <c r="B18" s="20" t="s">
        <v>244</v>
      </c>
      <c r="C18" s="7" t="s">
        <v>252</v>
      </c>
      <c r="D18" s="7" t="s">
        <v>263</v>
      </c>
      <c r="E18" s="7"/>
    </row>
    <row r="19" customFormat="false" ht="30" hidden="false" customHeight="true" outlineLevel="0" collapsed="false">
      <c r="A19" s="16" t="s">
        <v>264</v>
      </c>
      <c r="B19" s="17" t="s">
        <v>241</v>
      </c>
      <c r="C19" s="18" t="s">
        <v>242</v>
      </c>
      <c r="D19" s="18" t="s">
        <v>265</v>
      </c>
      <c r="E19" s="19" t="s">
        <v>266</v>
      </c>
    </row>
    <row r="20" customFormat="false" ht="30" hidden="false" customHeight="true" outlineLevel="0" collapsed="false">
      <c r="A20" s="7"/>
      <c r="B20" s="20" t="s">
        <v>244</v>
      </c>
      <c r="C20" s="7" t="s">
        <v>259</v>
      </c>
      <c r="D20" s="20" t="s">
        <v>267</v>
      </c>
      <c r="E20" s="7"/>
    </row>
    <row r="22" customFormat="false" ht="15" hidden="false" customHeight="false" outlineLevel="0" collapsed="false">
      <c r="A22" s="22" t="s">
        <v>268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4" min="4" style="0" width="34"/>
    <col collapsed="false" customWidth="true" hidden="false" outlineLevel="0" max="5" min="5" style="0" width="7"/>
    <col collapsed="false" customWidth="true" hidden="false" outlineLevel="0" max="6" min="6" style="0" width="9"/>
    <col collapsed="false" customWidth="true" hidden="false" outlineLevel="0" max="7" min="7" style="0" width="15"/>
    <col collapsed="false" customWidth="true" hidden="false" outlineLevel="0" max="8" min="8" style="0" width="20"/>
    <col collapsed="false" customWidth="true" hidden="false" outlineLevel="0" max="9" min="9" style="0" width="26"/>
  </cols>
  <sheetData>
    <row r="1" customFormat="false" ht="20.1" hidden="false" customHeight="false" outlineLevel="0" collapsed="false">
      <c r="A1" s="23" t="s">
        <v>269</v>
      </c>
    </row>
    <row r="2" customFormat="false" ht="15" hidden="false" customHeight="false" outlineLevel="0" collapsed="false">
      <c r="A2" s="2" t="s">
        <v>270</v>
      </c>
    </row>
    <row r="4" customFormat="false" ht="30" hidden="false" customHeight="true" outlineLevel="0" collapsed="false">
      <c r="A4" s="5" t="s">
        <v>271</v>
      </c>
      <c r="B4" s="4" t="s">
        <v>272</v>
      </c>
      <c r="C4" s="4" t="s">
        <v>273</v>
      </c>
      <c r="D4" s="4" t="s">
        <v>4</v>
      </c>
      <c r="E4" s="4" t="s">
        <v>7</v>
      </c>
      <c r="F4" s="4" t="s">
        <v>274</v>
      </c>
      <c r="G4" s="5" t="s">
        <v>275</v>
      </c>
      <c r="H4" s="5" t="s">
        <v>276</v>
      </c>
      <c r="I4" s="4" t="s">
        <v>277</v>
      </c>
    </row>
    <row r="5" customFormat="false" ht="19.5" hidden="false" customHeight="true" outlineLevel="0" collapsed="false">
      <c r="A5" s="6" t="n">
        <v>1</v>
      </c>
      <c r="B5" s="24" t="s">
        <v>278</v>
      </c>
      <c r="C5" s="24" t="s">
        <v>16</v>
      </c>
      <c r="D5" s="24" t="s">
        <v>279</v>
      </c>
      <c r="E5" s="24" t="n">
        <v>3</v>
      </c>
      <c r="F5" s="24" t="s">
        <v>280</v>
      </c>
      <c r="G5" s="11" t="s">
        <v>281</v>
      </c>
      <c r="H5" s="11" t="s">
        <v>281</v>
      </c>
      <c r="I5" s="25" t="s">
        <v>282</v>
      </c>
    </row>
    <row r="6" customFormat="false" ht="19.5" hidden="false" customHeight="true" outlineLevel="0" collapsed="false">
      <c r="A6" s="6" t="n">
        <v>2</v>
      </c>
      <c r="B6" s="24"/>
      <c r="C6" s="24"/>
      <c r="D6" s="24"/>
      <c r="E6" s="24" t="n">
        <v>3</v>
      </c>
      <c r="F6" s="24"/>
      <c r="G6" s="11"/>
      <c r="H6" s="11"/>
      <c r="I6" s="24"/>
    </row>
    <row r="7" customFormat="false" ht="19.5" hidden="false" customHeight="true" outlineLevel="0" collapsed="false">
      <c r="A7" s="6" t="n">
        <v>3</v>
      </c>
      <c r="B7" s="24"/>
      <c r="C7" s="24"/>
      <c r="D7" s="24"/>
      <c r="E7" s="24" t="n">
        <v>3</v>
      </c>
      <c r="F7" s="24"/>
      <c r="G7" s="11"/>
      <c r="H7" s="11"/>
      <c r="I7" s="24"/>
    </row>
    <row r="8" customFormat="false" ht="19.5" hidden="false" customHeight="true" outlineLevel="0" collapsed="false">
      <c r="A8" s="6" t="n">
        <v>4</v>
      </c>
      <c r="B8" s="24"/>
      <c r="C8" s="24"/>
      <c r="D8" s="24"/>
      <c r="E8" s="24" t="n">
        <v>3</v>
      </c>
      <c r="F8" s="24"/>
      <c r="G8" s="11"/>
      <c r="H8" s="11"/>
      <c r="I8" s="24"/>
    </row>
    <row r="9" customFormat="false" ht="19.5" hidden="false" customHeight="true" outlineLevel="0" collapsed="false">
      <c r="A9" s="6" t="n">
        <v>5</v>
      </c>
      <c r="B9" s="24"/>
      <c r="C9" s="24"/>
      <c r="D9" s="24"/>
      <c r="E9" s="24" t="n">
        <v>3</v>
      </c>
      <c r="F9" s="24"/>
      <c r="G9" s="11"/>
      <c r="H9" s="11"/>
      <c r="I9" s="24"/>
    </row>
    <row r="10" customFormat="false" ht="19.5" hidden="false" customHeight="true" outlineLevel="0" collapsed="false">
      <c r="A10" s="6" t="n">
        <v>6</v>
      </c>
      <c r="B10" s="24"/>
      <c r="C10" s="24"/>
      <c r="D10" s="24"/>
      <c r="E10" s="24" t="n">
        <v>3</v>
      </c>
      <c r="F10" s="24"/>
      <c r="G10" s="11"/>
      <c r="H10" s="11"/>
      <c r="I10" s="24"/>
    </row>
    <row r="11" customFormat="false" ht="19.5" hidden="false" customHeight="true" outlineLevel="0" collapsed="false">
      <c r="A11" s="6" t="n">
        <v>7</v>
      </c>
      <c r="B11" s="24"/>
      <c r="C11" s="24"/>
      <c r="D11" s="24"/>
      <c r="E11" s="24" t="n">
        <v>3</v>
      </c>
      <c r="F11" s="24"/>
      <c r="G11" s="11"/>
      <c r="H11" s="11"/>
      <c r="I11" s="24"/>
    </row>
    <row r="12" customFormat="false" ht="19.5" hidden="false" customHeight="true" outlineLevel="0" collapsed="false">
      <c r="A12" s="6" t="n">
        <v>8</v>
      </c>
      <c r="B12" s="24"/>
      <c r="C12" s="24"/>
      <c r="D12" s="24"/>
      <c r="E12" s="24" t="n">
        <v>3</v>
      </c>
      <c r="F12" s="24"/>
      <c r="G12" s="11"/>
      <c r="H12" s="11"/>
      <c r="I12" s="24"/>
    </row>
    <row r="13" customFormat="false" ht="19.5" hidden="false" customHeight="true" outlineLevel="0" collapsed="false">
      <c r="A13" s="6" t="n">
        <v>9</v>
      </c>
      <c r="B13" s="24"/>
      <c r="C13" s="24"/>
      <c r="D13" s="24"/>
      <c r="E13" s="24" t="n">
        <v>3</v>
      </c>
      <c r="F13" s="24"/>
      <c r="G13" s="11"/>
      <c r="H13" s="11"/>
      <c r="I13" s="24"/>
    </row>
    <row r="14" customFormat="false" ht="19.5" hidden="false" customHeight="true" outlineLevel="0" collapsed="false">
      <c r="A14" s="6" t="n">
        <v>10</v>
      </c>
      <c r="B14" s="24"/>
      <c r="C14" s="24"/>
      <c r="D14" s="24"/>
      <c r="E14" s="24" t="n">
        <v>3</v>
      </c>
      <c r="F14" s="24"/>
      <c r="G14" s="11"/>
      <c r="H14" s="11"/>
      <c r="I14" s="24"/>
    </row>
    <row r="16" customFormat="false" ht="15" hidden="false" customHeight="false" outlineLevel="0" collapsed="false">
      <c r="A16" s="26" t="s">
        <v>283</v>
      </c>
      <c r="B16" s="27" t="n">
        <f aca="false">SUM(E5:E14)</f>
        <v>30</v>
      </c>
      <c r="C16" s="28" t="s">
        <v>284</v>
      </c>
      <c r="D16" s="28"/>
      <c r="E16" s="28"/>
    </row>
    <row r="17" customFormat="false" ht="15" hidden="false" customHeight="false" outlineLevel="0" collapsed="false">
      <c r="A17" s="26" t="s">
        <v>285</v>
      </c>
      <c r="B17" s="27" t="n">
        <f aca="false">30-B16</f>
        <v>0</v>
      </c>
      <c r="C17" s="29" t="s">
        <v>286</v>
      </c>
      <c r="D17" s="29"/>
      <c r="E17" s="29"/>
    </row>
    <row r="18" customFormat="false" ht="15" hidden="false" customHeight="false" outlineLevel="0" collapsed="false">
      <c r="A18" s="30" t="s">
        <v>287</v>
      </c>
      <c r="B18" s="27" t="n">
        <f aca="false">COUNTIF(G5:G14,"예")</f>
        <v>1</v>
      </c>
      <c r="C18" s="29" t="s">
        <v>288</v>
      </c>
      <c r="D18" s="29"/>
      <c r="E18" s="29"/>
    </row>
    <row r="19" customFormat="false" ht="15" hidden="false" customHeight="false" outlineLevel="0" collapsed="false">
      <c r="A19" s="30" t="s">
        <v>289</v>
      </c>
      <c r="B19" s="27" t="n">
        <f aca="false">COUNTIF(H5:H14,"예")</f>
        <v>1</v>
      </c>
      <c r="C19" s="29" t="s">
        <v>290</v>
      </c>
      <c r="D19" s="29"/>
      <c r="E19" s="29"/>
    </row>
    <row r="20" customFormat="false" ht="15" hidden="false" customHeight="false" outlineLevel="0" collapsed="false">
      <c r="A20" s="26" t="s">
        <v>291</v>
      </c>
      <c r="B20" s="27" t="n">
        <f aca="false">COUNTA(C5:C14)</f>
        <v>1</v>
      </c>
      <c r="C20" s="28" t="s">
        <v>292</v>
      </c>
      <c r="D20" s="28"/>
      <c r="E20" s="28"/>
    </row>
  </sheetData>
  <mergeCells count="5">
    <mergeCell ref="C16:E16"/>
    <mergeCell ref="C17:E17"/>
    <mergeCell ref="C18:E18"/>
    <mergeCell ref="C19:E19"/>
    <mergeCell ref="C20:E20"/>
  </mergeCells>
  <dataValidations count="1">
    <dataValidation allowBlank="true" errorStyle="stop" operator="between" showDropDown="false" showErrorMessage="false" showInputMessage="false" sqref="G5:H14" type="list">
      <formula1>"예,아니오"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2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7"/>
    <col collapsed="false" customWidth="true" hidden="false" outlineLevel="0" max="6" min="6" style="0" width="44"/>
  </cols>
  <sheetData>
    <row r="1" customFormat="false" ht="20.1" hidden="false" customHeight="false" outlineLevel="0" collapsed="false">
      <c r="A1" s="23" t="s">
        <v>293</v>
      </c>
    </row>
    <row r="2" customFormat="false" ht="15" hidden="false" customHeight="false" outlineLevel="0" collapsed="false">
      <c r="A2" s="15" t="s">
        <v>294</v>
      </c>
    </row>
    <row r="4" customFormat="false" ht="30" hidden="false" customHeight="true" outlineLevel="0" collapsed="false">
      <c r="A4" s="4" t="s">
        <v>3</v>
      </c>
      <c r="B4" s="4" t="s">
        <v>4</v>
      </c>
      <c r="C4" s="4" t="s">
        <v>5</v>
      </c>
      <c r="D4" s="5" t="s">
        <v>6</v>
      </c>
      <c r="E4" s="4" t="s">
        <v>7</v>
      </c>
      <c r="F4" s="4" t="s">
        <v>295</v>
      </c>
    </row>
    <row r="5" customFormat="false" ht="15" hidden="false" customHeight="false" outlineLevel="0" collapsed="false">
      <c r="A5" s="6" t="s">
        <v>16</v>
      </c>
      <c r="B5" s="7" t="s">
        <v>17</v>
      </c>
      <c r="C5" s="6" t="s">
        <v>296</v>
      </c>
      <c r="D5" s="6" t="n">
        <v>86057</v>
      </c>
      <c r="E5" s="6" t="n">
        <v>3</v>
      </c>
      <c r="F5" s="7" t="s">
        <v>297</v>
      </c>
    </row>
    <row r="6" customFormat="false" ht="15" hidden="false" customHeight="false" outlineLevel="0" collapsed="false">
      <c r="A6" s="6" t="s">
        <v>28</v>
      </c>
      <c r="B6" s="7" t="s">
        <v>29</v>
      </c>
      <c r="C6" s="6" t="s">
        <v>296</v>
      </c>
      <c r="D6" s="6" t="n">
        <v>86083</v>
      </c>
      <c r="E6" s="6" t="n">
        <v>3</v>
      </c>
      <c r="F6" s="7" t="s">
        <v>297</v>
      </c>
    </row>
    <row r="7" customFormat="false" ht="15" hidden="false" customHeight="false" outlineLevel="0" collapsed="false">
      <c r="A7" s="6" t="s">
        <v>36</v>
      </c>
      <c r="B7" s="7" t="s">
        <v>37</v>
      </c>
      <c r="C7" s="6" t="s">
        <v>296</v>
      </c>
      <c r="D7" s="6" t="n">
        <v>86081</v>
      </c>
      <c r="E7" s="6" t="n">
        <v>3</v>
      </c>
      <c r="F7" s="7" t="s">
        <v>297</v>
      </c>
    </row>
    <row r="8" customFormat="false" ht="15" hidden="false" customHeight="false" outlineLevel="0" collapsed="false">
      <c r="A8" s="6" t="s">
        <v>298</v>
      </c>
      <c r="B8" s="7" t="s">
        <v>299</v>
      </c>
      <c r="C8" s="6" t="s">
        <v>296</v>
      </c>
      <c r="D8" s="6" t="n">
        <v>91355</v>
      </c>
      <c r="E8" s="6" t="n">
        <v>3</v>
      </c>
      <c r="F8" s="7" t="s">
        <v>297</v>
      </c>
    </row>
    <row r="9" customFormat="false" ht="15" hidden="false" customHeight="false" outlineLevel="0" collapsed="false">
      <c r="A9" s="6" t="s">
        <v>40</v>
      </c>
      <c r="B9" s="7" t="s">
        <v>41</v>
      </c>
      <c r="C9" s="6" t="s">
        <v>296</v>
      </c>
      <c r="D9" s="6" t="n">
        <v>88126</v>
      </c>
      <c r="E9" s="6" t="n">
        <v>3</v>
      </c>
      <c r="F9" s="7" t="s">
        <v>297</v>
      </c>
    </row>
    <row r="10" customFormat="false" ht="15" hidden="false" customHeight="false" outlineLevel="0" collapsed="false">
      <c r="A10" s="6" t="s">
        <v>44</v>
      </c>
      <c r="B10" s="7" t="s">
        <v>45</v>
      </c>
      <c r="C10" s="6" t="s">
        <v>296</v>
      </c>
      <c r="D10" s="6" t="n">
        <v>87152</v>
      </c>
      <c r="E10" s="6" t="n">
        <v>3</v>
      </c>
      <c r="F10" s="7" t="s">
        <v>297</v>
      </c>
    </row>
    <row r="11" customFormat="false" ht="15" hidden="false" customHeight="false" outlineLevel="0" collapsed="false">
      <c r="A11" s="6" t="s">
        <v>47</v>
      </c>
      <c r="B11" s="7" t="s">
        <v>48</v>
      </c>
      <c r="C11" s="6" t="s">
        <v>296</v>
      </c>
      <c r="D11" s="6" t="n">
        <v>91091</v>
      </c>
      <c r="E11" s="6" t="n">
        <v>3</v>
      </c>
      <c r="F11" s="7" t="s">
        <v>297</v>
      </c>
    </row>
    <row r="12" customFormat="false" ht="15" hidden="false" customHeight="false" outlineLevel="0" collapsed="false">
      <c r="A12" s="6" t="s">
        <v>51</v>
      </c>
      <c r="B12" s="7" t="s">
        <v>52</v>
      </c>
      <c r="C12" s="6" t="s">
        <v>296</v>
      </c>
      <c r="D12" s="6" t="n">
        <v>86059</v>
      </c>
      <c r="E12" s="6" t="n">
        <v>3</v>
      </c>
      <c r="F12" s="7" t="s">
        <v>297</v>
      </c>
    </row>
    <row r="13" customFormat="false" ht="15" hidden="false" customHeight="false" outlineLevel="0" collapsed="false">
      <c r="A13" s="6" t="s">
        <v>56</v>
      </c>
      <c r="B13" s="7" t="s">
        <v>57</v>
      </c>
      <c r="C13" s="6" t="s">
        <v>296</v>
      </c>
      <c r="D13" s="6" t="n">
        <v>87919</v>
      </c>
      <c r="E13" s="6" t="n">
        <v>3</v>
      </c>
      <c r="F13" s="7" t="s">
        <v>297</v>
      </c>
    </row>
    <row r="14" customFormat="false" ht="15" hidden="false" customHeight="false" outlineLevel="0" collapsed="false">
      <c r="A14" s="6" t="s">
        <v>58</v>
      </c>
      <c r="B14" s="7" t="s">
        <v>59</v>
      </c>
      <c r="C14" s="6" t="s">
        <v>296</v>
      </c>
      <c r="D14" s="6" t="n">
        <v>86082</v>
      </c>
      <c r="E14" s="6" t="n">
        <v>3</v>
      </c>
      <c r="F14" s="7" t="s">
        <v>297</v>
      </c>
    </row>
    <row r="15" customFormat="false" ht="15" hidden="false" customHeight="false" outlineLevel="0" collapsed="false">
      <c r="A15" s="6" t="s">
        <v>67</v>
      </c>
      <c r="B15" s="7" t="s">
        <v>68</v>
      </c>
      <c r="C15" s="6" t="s">
        <v>296</v>
      </c>
      <c r="D15" s="6" t="n">
        <v>86058</v>
      </c>
      <c r="E15" s="6" t="n">
        <v>3</v>
      </c>
      <c r="F15" s="7" t="s">
        <v>297</v>
      </c>
    </row>
    <row r="16" customFormat="false" ht="15" hidden="false" customHeight="false" outlineLevel="0" collapsed="false">
      <c r="A16" s="6" t="s">
        <v>79</v>
      </c>
      <c r="B16" s="7" t="s">
        <v>80</v>
      </c>
      <c r="C16" s="6" t="s">
        <v>300</v>
      </c>
      <c r="D16" s="6" t="n">
        <v>85142</v>
      </c>
      <c r="E16" s="6" t="n">
        <v>3</v>
      </c>
      <c r="F16" s="7" t="s">
        <v>301</v>
      </c>
    </row>
    <row r="17" customFormat="false" ht="15" hidden="false" customHeight="false" outlineLevel="0" collapsed="false">
      <c r="A17" s="6" t="s">
        <v>79</v>
      </c>
      <c r="B17" s="7" t="s">
        <v>80</v>
      </c>
      <c r="C17" s="6" t="s">
        <v>296</v>
      </c>
      <c r="D17" s="6" t="n">
        <v>86060</v>
      </c>
      <c r="E17" s="6" t="n">
        <v>3</v>
      </c>
      <c r="F17" s="7" t="s">
        <v>297</v>
      </c>
    </row>
    <row r="18" customFormat="false" ht="15" hidden="false" customHeight="false" outlineLevel="0" collapsed="false">
      <c r="A18" s="6" t="s">
        <v>118</v>
      </c>
      <c r="B18" s="7" t="s">
        <v>119</v>
      </c>
      <c r="C18" s="6" t="s">
        <v>300</v>
      </c>
      <c r="D18" s="6" t="n">
        <v>89582</v>
      </c>
      <c r="E18" s="6" t="n">
        <v>3</v>
      </c>
      <c r="F18" s="7" t="s">
        <v>301</v>
      </c>
    </row>
    <row r="19" customFormat="false" ht="15" hidden="false" customHeight="false" outlineLevel="0" collapsed="false">
      <c r="A19" s="6" t="s">
        <v>302</v>
      </c>
      <c r="B19" s="7" t="s">
        <v>303</v>
      </c>
      <c r="C19" s="6" t="s">
        <v>304</v>
      </c>
      <c r="D19" s="6" t="n">
        <v>87117</v>
      </c>
      <c r="E19" s="6" t="n">
        <v>0</v>
      </c>
      <c r="F19" s="7" t="s">
        <v>297</v>
      </c>
    </row>
    <row r="20" customFormat="false" ht="15" hidden="false" customHeight="false" outlineLevel="0" collapsed="false">
      <c r="A20" s="6" t="s">
        <v>302</v>
      </c>
      <c r="B20" s="7" t="s">
        <v>303</v>
      </c>
      <c r="C20" s="6" t="s">
        <v>296</v>
      </c>
      <c r="D20" s="6" t="n">
        <v>87104</v>
      </c>
      <c r="E20" s="6" t="n">
        <v>5</v>
      </c>
      <c r="F20" s="7" t="s">
        <v>297</v>
      </c>
    </row>
    <row r="21" customFormat="false" ht="15" hidden="false" customHeight="false" outlineLevel="0" collapsed="false">
      <c r="A21" s="6" t="s">
        <v>130</v>
      </c>
      <c r="B21" s="7" t="s">
        <v>131</v>
      </c>
      <c r="C21" s="6" t="s">
        <v>296</v>
      </c>
      <c r="D21" s="6" t="n">
        <v>87103</v>
      </c>
      <c r="E21" s="6" t="n">
        <v>3</v>
      </c>
      <c r="F21" s="7" t="s">
        <v>297</v>
      </c>
    </row>
    <row r="22" customFormat="false" ht="15" hidden="false" customHeight="false" outlineLevel="0" collapsed="false">
      <c r="A22" s="6" t="s">
        <v>133</v>
      </c>
      <c r="B22" s="7" t="s">
        <v>134</v>
      </c>
      <c r="C22" s="6" t="s">
        <v>300</v>
      </c>
      <c r="D22" s="6" t="n">
        <v>89583</v>
      </c>
      <c r="E22" s="6" t="n">
        <v>3</v>
      </c>
      <c r="F22" s="7" t="s">
        <v>301</v>
      </c>
    </row>
    <row r="23" customFormat="false" ht="15" hidden="false" customHeight="false" outlineLevel="0" collapsed="false">
      <c r="A23" s="6" t="s">
        <v>133</v>
      </c>
      <c r="B23" s="7" t="s">
        <v>134</v>
      </c>
      <c r="C23" s="6" t="s">
        <v>296</v>
      </c>
      <c r="D23" s="6" t="n">
        <v>86073</v>
      </c>
      <c r="E23" s="6" t="n">
        <v>3</v>
      </c>
      <c r="F23" s="7" t="s">
        <v>297</v>
      </c>
    </row>
    <row r="24" customFormat="false" ht="15" hidden="false" customHeight="false" outlineLevel="0" collapsed="false">
      <c r="A24" s="6" t="s">
        <v>142</v>
      </c>
      <c r="B24" s="7" t="s">
        <v>143</v>
      </c>
      <c r="C24" s="6" t="s">
        <v>300</v>
      </c>
      <c r="D24" s="6" t="n">
        <v>89584</v>
      </c>
      <c r="E24" s="6" t="n">
        <v>3</v>
      </c>
      <c r="F24" s="7" t="s">
        <v>301</v>
      </c>
    </row>
    <row r="25" customFormat="false" ht="15" hidden="false" customHeight="false" outlineLevel="0" collapsed="false">
      <c r="A25" s="6" t="s">
        <v>163</v>
      </c>
      <c r="B25" s="7" t="s">
        <v>164</v>
      </c>
      <c r="C25" s="6" t="s">
        <v>300</v>
      </c>
      <c r="D25" s="6" t="n">
        <v>86167</v>
      </c>
      <c r="E25" s="6" t="n">
        <v>3</v>
      </c>
      <c r="F25" s="7" t="s">
        <v>301</v>
      </c>
    </row>
    <row r="26" customFormat="false" ht="15" hidden="false" customHeight="false" outlineLevel="0" collapsed="false">
      <c r="A26" s="6" t="s">
        <v>178</v>
      </c>
      <c r="B26" s="7" t="s">
        <v>179</v>
      </c>
      <c r="C26" s="6" t="s">
        <v>300</v>
      </c>
      <c r="D26" s="6" t="n">
        <v>89717</v>
      </c>
      <c r="E26" s="6" t="n">
        <v>3</v>
      </c>
      <c r="F26" s="7" t="s">
        <v>301</v>
      </c>
    </row>
    <row r="27" customFormat="false" ht="15" hidden="false" customHeight="false" outlineLevel="0" collapsed="false">
      <c r="A27" s="6" t="s">
        <v>182</v>
      </c>
      <c r="B27" s="7" t="s">
        <v>183</v>
      </c>
      <c r="C27" s="6" t="s">
        <v>300</v>
      </c>
      <c r="D27" s="6" t="n">
        <v>87903</v>
      </c>
      <c r="E27" s="6" t="n">
        <v>3</v>
      </c>
      <c r="F27" s="7" t="s">
        <v>301</v>
      </c>
    </row>
    <row r="28" customFormat="false" ht="15" hidden="false" customHeight="false" outlineLevel="0" collapsed="false">
      <c r="A28" s="6" t="s">
        <v>185</v>
      </c>
      <c r="B28" s="7" t="s">
        <v>186</v>
      </c>
      <c r="C28" s="6" t="s">
        <v>300</v>
      </c>
      <c r="D28" s="6" t="n">
        <v>86166</v>
      </c>
      <c r="E28" s="6" t="n">
        <v>3</v>
      </c>
      <c r="F28" s="7" t="s">
        <v>301</v>
      </c>
    </row>
    <row r="29" customFormat="false" ht="15" hidden="false" customHeight="false" outlineLevel="0" collapsed="false">
      <c r="A29" s="6" t="s">
        <v>305</v>
      </c>
      <c r="B29" s="7" t="s">
        <v>306</v>
      </c>
      <c r="C29" s="6" t="s">
        <v>296</v>
      </c>
      <c r="D29" s="6" t="n">
        <v>95098</v>
      </c>
      <c r="E29" s="6" t="n">
        <v>3</v>
      </c>
      <c r="F29" s="7" t="s">
        <v>297</v>
      </c>
    </row>
    <row r="32" customFormat="false" ht="15" hidden="false" customHeight="false" outlineLevel="0" collapsed="false">
      <c r="A32" s="31" t="s">
        <v>307</v>
      </c>
    </row>
    <row r="33" customFormat="false" ht="30" hidden="false" customHeight="true" outlineLevel="0" collapsed="false">
      <c r="A33" s="4" t="s">
        <v>3</v>
      </c>
      <c r="B33" s="4" t="s">
        <v>308</v>
      </c>
      <c r="C33" s="4" t="s">
        <v>5</v>
      </c>
      <c r="D33" s="5" t="s">
        <v>6</v>
      </c>
      <c r="E33" s="4" t="s">
        <v>7</v>
      </c>
      <c r="F33" s="4" t="s">
        <v>277</v>
      </c>
    </row>
    <row r="34" customFormat="false" ht="15" hidden="false" customHeight="false" outlineLevel="0" collapsed="false">
      <c r="A34" s="6" t="s">
        <v>309</v>
      </c>
      <c r="B34" s="7" t="s">
        <v>310</v>
      </c>
      <c r="C34" s="6" t="s">
        <v>311</v>
      </c>
      <c r="D34" s="6" t="n">
        <v>95464</v>
      </c>
      <c r="E34" s="6" t="n">
        <v>1</v>
      </c>
      <c r="F34" s="20" t="s">
        <v>312</v>
      </c>
    </row>
    <row r="35" customFormat="false" ht="15" hidden="false" customHeight="false" outlineLevel="0" collapsed="false">
      <c r="A35" s="6" t="s">
        <v>309</v>
      </c>
      <c r="B35" s="7" t="s">
        <v>313</v>
      </c>
      <c r="C35" s="6" t="s">
        <v>314</v>
      </c>
      <c r="D35" s="6" t="n">
        <v>95373</v>
      </c>
      <c r="E35" s="6" t="n">
        <v>1</v>
      </c>
      <c r="F35" s="20" t="s">
        <v>312</v>
      </c>
    </row>
    <row r="36" customFormat="false" ht="23.85" hidden="false" customHeight="false" outlineLevel="0" collapsed="false">
      <c r="A36" s="6" t="s">
        <v>309</v>
      </c>
      <c r="B36" s="7" t="s">
        <v>315</v>
      </c>
      <c r="C36" s="6" t="s">
        <v>316</v>
      </c>
      <c r="D36" s="6" t="n">
        <v>95370</v>
      </c>
      <c r="E36" s="6" t="n">
        <v>1</v>
      </c>
      <c r="F36" s="20" t="s">
        <v>312</v>
      </c>
    </row>
    <row r="37" customFormat="false" ht="15" hidden="false" customHeight="false" outlineLevel="0" collapsed="false">
      <c r="A37" s="6" t="s">
        <v>309</v>
      </c>
      <c r="B37" s="7" t="s">
        <v>317</v>
      </c>
      <c r="C37" s="6" t="s">
        <v>318</v>
      </c>
      <c r="D37" s="6" t="n">
        <v>95374</v>
      </c>
      <c r="E37" s="6" t="n">
        <v>1</v>
      </c>
      <c r="F37" s="20" t="s">
        <v>312</v>
      </c>
    </row>
    <row r="38" customFormat="false" ht="15" hidden="false" customHeight="false" outlineLevel="0" collapsed="false">
      <c r="A38" s="6" t="s">
        <v>309</v>
      </c>
      <c r="B38" s="7" t="s">
        <v>319</v>
      </c>
      <c r="C38" s="6" t="s">
        <v>320</v>
      </c>
      <c r="D38" s="6" t="n">
        <v>95371</v>
      </c>
      <c r="E38" s="6" t="n">
        <v>1</v>
      </c>
      <c r="F38" s="20" t="s">
        <v>312</v>
      </c>
    </row>
    <row r="39" customFormat="false" ht="15" hidden="false" customHeight="false" outlineLevel="0" collapsed="false">
      <c r="A39" s="6" t="s">
        <v>309</v>
      </c>
      <c r="B39" s="7" t="s">
        <v>321</v>
      </c>
      <c r="C39" s="6" t="s">
        <v>322</v>
      </c>
      <c r="D39" s="6" t="n">
        <v>95369</v>
      </c>
      <c r="E39" s="6" t="n">
        <v>1</v>
      </c>
      <c r="F39" s="20" t="s">
        <v>312</v>
      </c>
    </row>
    <row r="40" customFormat="false" ht="23.85" hidden="false" customHeight="false" outlineLevel="0" collapsed="false">
      <c r="A40" s="6" t="s">
        <v>309</v>
      </c>
      <c r="B40" s="7" t="s">
        <v>323</v>
      </c>
      <c r="C40" s="6" t="s">
        <v>324</v>
      </c>
      <c r="D40" s="6" t="n">
        <v>95377</v>
      </c>
      <c r="E40" s="6" t="n">
        <v>1</v>
      </c>
      <c r="F40" s="20" t="s">
        <v>312</v>
      </c>
    </row>
    <row r="41" customFormat="false" ht="15" hidden="false" customHeight="false" outlineLevel="0" collapsed="false">
      <c r="A41" s="6" t="s">
        <v>309</v>
      </c>
      <c r="B41" s="7" t="s">
        <v>325</v>
      </c>
      <c r="C41" s="6" t="s">
        <v>326</v>
      </c>
      <c r="D41" s="6" t="n">
        <v>95380</v>
      </c>
      <c r="E41" s="6" t="n">
        <v>1</v>
      </c>
      <c r="F41" s="20" t="s">
        <v>312</v>
      </c>
    </row>
    <row r="42" customFormat="false" ht="15" hidden="false" customHeight="false" outlineLevel="0" collapsed="false">
      <c r="A42" s="6" t="s">
        <v>309</v>
      </c>
      <c r="B42" s="7" t="s">
        <v>327</v>
      </c>
      <c r="C42" s="6" t="s">
        <v>328</v>
      </c>
      <c r="D42" s="6" t="n">
        <v>95375</v>
      </c>
      <c r="E42" s="6" t="n">
        <v>1</v>
      </c>
      <c r="F42" s="20" t="s">
        <v>312</v>
      </c>
    </row>
    <row r="43" customFormat="false" ht="15" hidden="false" customHeight="false" outlineLevel="0" collapsed="false">
      <c r="A43" s="6" t="s">
        <v>309</v>
      </c>
      <c r="B43" s="7" t="s">
        <v>329</v>
      </c>
      <c r="C43" s="6" t="s">
        <v>330</v>
      </c>
      <c r="D43" s="6" t="n">
        <v>95379</v>
      </c>
      <c r="E43" s="6" t="n">
        <v>1</v>
      </c>
      <c r="F43" s="20" t="s">
        <v>312</v>
      </c>
    </row>
    <row r="44" customFormat="false" ht="15" hidden="false" customHeight="false" outlineLevel="0" collapsed="false">
      <c r="A44" s="6" t="s">
        <v>309</v>
      </c>
      <c r="B44" s="7" t="s">
        <v>331</v>
      </c>
      <c r="C44" s="6" t="s">
        <v>332</v>
      </c>
      <c r="D44" s="6" t="n">
        <v>95372</v>
      </c>
      <c r="E44" s="6" t="n">
        <v>1</v>
      </c>
      <c r="F44" s="20" t="s">
        <v>312</v>
      </c>
    </row>
    <row r="45" customFormat="false" ht="15" hidden="false" customHeight="false" outlineLevel="0" collapsed="false">
      <c r="A45" s="6" t="s">
        <v>309</v>
      </c>
      <c r="B45" s="7" t="s">
        <v>333</v>
      </c>
      <c r="C45" s="6" t="s">
        <v>334</v>
      </c>
      <c r="D45" s="6" t="n">
        <v>95376</v>
      </c>
      <c r="E45" s="6" t="n">
        <v>1</v>
      </c>
      <c r="F45" s="20" t="s">
        <v>312</v>
      </c>
    </row>
    <row r="46" customFormat="false" ht="23.85" hidden="false" customHeight="false" outlineLevel="0" collapsed="false">
      <c r="A46" s="6" t="s">
        <v>309</v>
      </c>
      <c r="B46" s="7" t="s">
        <v>335</v>
      </c>
      <c r="C46" s="6" t="s">
        <v>336</v>
      </c>
      <c r="D46" s="6" t="n">
        <v>95381</v>
      </c>
      <c r="E46" s="6" t="n">
        <v>1</v>
      </c>
      <c r="F46" s="20" t="s">
        <v>312</v>
      </c>
    </row>
    <row r="47" customFormat="false" ht="15" hidden="false" customHeight="false" outlineLevel="0" collapsed="false">
      <c r="A47" s="6" t="s">
        <v>309</v>
      </c>
      <c r="B47" s="7" t="s">
        <v>337</v>
      </c>
      <c r="C47" s="6" t="s">
        <v>338</v>
      </c>
      <c r="D47" s="6" t="n">
        <v>95378</v>
      </c>
      <c r="E47" s="6" t="n">
        <v>1</v>
      </c>
      <c r="F47" s="20" t="s">
        <v>312</v>
      </c>
    </row>
    <row r="48" customFormat="false" ht="15" hidden="false" customHeight="false" outlineLevel="0" collapsed="false">
      <c r="A48" s="6" t="s">
        <v>309</v>
      </c>
      <c r="B48" s="7" t="s">
        <v>339</v>
      </c>
      <c r="C48" s="6" t="s">
        <v>340</v>
      </c>
      <c r="D48" s="6" t="n">
        <v>95463</v>
      </c>
      <c r="E48" s="6" t="n">
        <v>1</v>
      </c>
      <c r="F48" s="20" t="s">
        <v>312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2026-08-17T16:12:28Z</dcterms:created>
  <dc:creator>openpyxl</dc:creator>
  <dc:description/>
  <dc:language>en-US</dc:language>
  <cp:lastModifiedBy/>
  <dcterms:modified xsi:type="dcterms:W3CDTF">2026-08-17T16:12:28Z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